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ina\src\git_idea\qubounds\resources\"/>
    </mc:Choice>
  </mc:AlternateContent>
  <bookViews>
    <workbookView xWindow="0" yWindow="0" windowWidth="23040" windowHeight="8616"/>
  </bookViews>
  <sheets>
    <sheet name="models" sheetId="1" r:id="rId1"/>
    <sheet name="Sheet1" sheetId="2" r:id="rId2"/>
  </sheets>
  <calcPr calcId="162913"/>
</workbook>
</file>

<file path=xl/calcChain.xml><?xml version="1.0" encoding="utf-8"?>
<calcChain xmlns="http://schemas.openxmlformats.org/spreadsheetml/2006/main">
  <c r="E7" i="1" l="1"/>
  <c r="E9" i="1"/>
  <c r="E114" i="1"/>
  <c r="E11" i="1"/>
  <c r="E13" i="1"/>
  <c r="E15" i="1"/>
  <c r="E106" i="1"/>
  <c r="E81" i="1"/>
</calcChain>
</file>

<file path=xl/sharedStrings.xml><?xml version="1.0" encoding="utf-8"?>
<sst xmlns="http://schemas.openxmlformats.org/spreadsheetml/2006/main" count="1514" uniqueCount="1034">
  <si>
    <t>Key</t>
  </si>
  <si>
    <t>ClassName</t>
  </si>
  <si>
    <t>Name</t>
  </si>
  <si>
    <t>TrainingSetURL</t>
  </si>
  <si>
    <t>Units</t>
  </si>
  <si>
    <t>Summary</t>
  </si>
  <si>
    <t>ClassValues</t>
  </si>
  <si>
    <t>Vega</t>
  </si>
  <si>
    <t>Version</t>
  </si>
  <si>
    <t>ADItemsName</t>
  </si>
  <si>
    <t>ResultsName</t>
  </si>
  <si>
    <t>ALGAE_COMBASEEC50</t>
  </si>
  <si>
    <t>insilico.algae_combaseEC50.ismAlgaeCombaseEC50</t>
  </si>
  <si>
    <t>Algae Acute (EC50) Toxicity model (ProtoQSAR-Combase)</t>
  </si>
  <si>
    <t>/data/algaecombaseec50/ts_algae_combaseEC50.dat</t>
  </si>
  <si>
    <t>log(mg/L)</t>
  </si>
  <si>
    <t>Quantitative model for acute toxicity (EC50) in algae, specific for biocides</t>
  </si>
  <si>
    <t>{}</t>
  </si>
  <si>
    <t>{QMRF=/data/algaecombaseec50/qmrf_algae_combase_ec50.xml, HasAlerts=False, Units=log(mg/L), TS=/data/algaecombaseec50/ts_algae_combaseEC50.dat}</t>
  </si>
  <si>
    <t>1.0.1</t>
  </si>
  <si>
    <t>Similarity index;Accuracy index;Concordance index;Max error index;Descriptors range check;ACF index</t>
  </si>
  <si>
    <t>Predicted EC50 [log(mg/L)];Predicted EC50 [mg/L];Experimental value [mg/L];Biocide filter</t>
  </si>
  <si>
    <t>ALGAE_COMBASECLASS</t>
  </si>
  <si>
    <t>insilico.algae_combaseclass.ismAlgaeCombaseClass</t>
  </si>
  <si>
    <t>Algae Classification Toxicity model (ProtoQSAR-Combase)</t>
  </si>
  <si>
    <t>/data/algaecombaseclass/ts_algae_combaseClass.dat</t>
  </si>
  <si>
    <t>Classification model for toxicity in algae, specific for biocides</t>
  </si>
  <si>
    <t>{0.0=NON-Toxic, 1.0=Toxic, -1.0=Not predicted}</t>
  </si>
  <si>
    <t>{QMRF=/data/algaecombaseclass/qmrf_algae_combase_class.xml, HasAlerts=False, TS=/data/algaecombaseclass/ts_algae_combaseClass.dat}</t>
  </si>
  <si>
    <t>Similarity index;Accuracy index;Concordance index;Descriptors range check;ACF index</t>
  </si>
  <si>
    <t>Predicted toxicity activity;Biocide filter</t>
  </si>
  <si>
    <t>ALGAE_EC50</t>
  </si>
  <si>
    <t>insilico.algae_ec50.ismAlgaeEC50</t>
  </si>
  <si>
    <t>Algae Acute (EC50) Toxicity model (IRFMN)</t>
  </si>
  <si>
    <t>/data/algaeec50irfmn/ts_algae_ec50.dat</t>
  </si>
  <si>
    <t>a-dimensional</t>
  </si>
  <si>
    <t>Quantitative model for acute toxicity (EC50) in algae</t>
  </si>
  <si>
    <t>{QMRF=/data/algaeec50irfmn/qmrf_algae_ec50_irfmn.xml, HasAlerts=False, Units=a-dimensional, TS=/data/algaeec50irfmn/ts_algae_ec50.dat}</t>
  </si>
  <si>
    <t>Predicted EC50 [a-dimensional];Predicted EC50 [mg/l];Molecular Weight;Experimental value [mg/l]</t>
  </si>
  <si>
    <t>ALGAE_NOEC</t>
  </si>
  <si>
    <t>insilico.algae_noec.ismAlgaeNOEC</t>
  </si>
  <si>
    <t>Algae Chronic (NOEC) Toxicity model (IRFMN)</t>
  </si>
  <si>
    <t>/data/algaenoec/ts_algae_noec.dat</t>
  </si>
  <si>
    <t>Quantitative model for chronic toxicity (NOEC) in algae</t>
  </si>
  <si>
    <t>{QMRF=/data/algaenoec/qmrf_algae_noec_irfmn.xml, HasAlerts=False, Units=a-dimensional, TS=/data/algaenoec/ts_algae_noec.dat}</t>
  </si>
  <si>
    <t>Predicted NOEC [a-dimensional];Predicted NOEC [mg/l];Molecular Weight;Experimental value [mg/l]</t>
  </si>
  <si>
    <t>AROM_TOX21</t>
  </si>
  <si>
    <t>insilico.aromatase_activity.ismAromataseTox21</t>
  </si>
  <si>
    <t>Aromatase activity model (TOX21)</t>
  </si>
  <si>
    <t>/data/ts_aromatase_tox21.dat</t>
  </si>
  <si>
    <t>Qualitative model for aromatase activity</t>
  </si>
  <si>
    <t>{0.0=Inactive, 1.0=Active agonist, 2.0=Active antagonist, -1.0=Not predicted, 3.0=Active (inconclusive)}</t>
  </si>
  <si>
    <t>{HasAlerts=False, TS=/data/ts_aromatase_tox21.dat}</t>
  </si>
  <si>
    <t>1.0.0</t>
  </si>
  <si>
    <t>Predicted activity;Alerts for activity;Alerts for inactivity;Alerts for agonist activity;Alerts for antagonist activity</t>
  </si>
  <si>
    <t>AROM_IRMFN</t>
  </si>
  <si>
    <t>insilico.aromatase_irfmn.ismAromataseIRFMN</t>
  </si>
  <si>
    <t>Aromatase activity model (IRFMN)</t>
  </si>
  <si>
    <t>/data/aromataseirfmn/ts_aromatase_irfmn.dat</t>
  </si>
  <si>
    <t>{0.0=Inactive, 1.0=Active agonist, 2.0=Active antagonist, -1.0=Not predicted}</t>
  </si>
  <si>
    <t>{QMRF=/data/aromataseirfmn/qmrf_aromatase_irfmn.xml, HasAlerts=False, TS=/data/aromataseirfmn/ts_aromatase_irfmn.dat}</t>
  </si>
  <si>
    <t>Similarity index;Accuracy index;Concordance index;ACF index</t>
  </si>
  <si>
    <t>Aromatase activity;Probability(Active Agonist);Probability(Active Antagonist);Probability(Inactive)</t>
  </si>
  <si>
    <t>BCF_ARNOTGOBAS</t>
  </si>
  <si>
    <t>insilico.bcf_arnotgobas.ismBCFArnotGobas</t>
  </si>
  <si>
    <t>BCF model (Arnot-Gobas)</t>
  </si>
  <si>
    <t>/data/bcfarnotgobas/ts_bcf_arnotgobas.dat</t>
  </si>
  <si>
    <t>log(L/kg)</t>
  </si>
  <si>
    <t>QSAR regression model for fish BCF (based on Arnot-Gobas model)</t>
  </si>
  <si>
    <t>{QMRF=/data/bcfarnotgobas/qmrf_bcf_arnotgobas.xml, Units=log(L/kg), TS=/data/bcfarnotgobas/ts_bcf_arnotgobas.dat}</t>
  </si>
  <si>
    <t>Similarity index;Accuracy index;Concordance index;Max error index;LogP reliability;ACF index;null</t>
  </si>
  <si>
    <t>Predicted BCF (up) [log(L/kg)];Predicted BCF (up) [L/kg];Predicted BCF (low) [log(L/kg)];Predicted BCF (low) [L/kg];Predicted BCF (mid) [log(L/kg)];Predicted BCF (mid) [L/kg];Predicted LogP (Meylan/Kowwin);Predicted LogP reliability;Predicted kM (Meylan);Predicted kM reliability</t>
  </si>
  <si>
    <t>BCF_CAESAR</t>
  </si>
  <si>
    <t>insilico.bcf_caesar.ismBCFCaesar</t>
  </si>
  <si>
    <t>BCF model (CAESAR)</t>
  </si>
  <si>
    <t>/data/ts_bcf_caesar.dat</t>
  </si>
  <si>
    <t>QSAR regression model for fish BCF (from CAESAR project)</t>
  </si>
  <si>
    <t>{HasAlerts=True, Units=log(L/kg), TS=/data/ts_bcf_caesar.dat}</t>
  </si>
  <si>
    <t>2.1.15</t>
  </si>
  <si>
    <t>Predicted BCF [log(L/kg)];Predicted BCF [L/kg];Predicted BCF from sub-model 1 (HM) [log(L/kg)];Predicted BCF from sub-model 2 (GA) [log(L/kg)];Predicted LogP (MLogP)</t>
  </si>
  <si>
    <t>BCF_KNN</t>
  </si>
  <si>
    <t>insilico.bcf_knn.ismBCFKnn</t>
  </si>
  <si>
    <t>BCF model (KNN-Read-Across)</t>
  </si>
  <si>
    <t>/data/ts_bcf_knn.dat</t>
  </si>
  <si>
    <t>KNN (Read-Across) model for fish BCF</t>
  </si>
  <si>
    <t>{Units=log(L/kg), TS=/data/ts_bcf_knn.dat}</t>
  </si>
  <si>
    <t>1.1.1</t>
  </si>
  <si>
    <t>Similarity index;Accuracy index;Concordance index;Max error index;ACF index</t>
  </si>
  <si>
    <t>Predicted BCF [log(L/kg)];Molecules used for prediction</t>
  </si>
  <si>
    <t>BCF_MEYLAN</t>
  </si>
  <si>
    <t>insilico.bcf_meylan.ismBCFMeylan</t>
  </si>
  <si>
    <t>BCF model (Meylan)</t>
  </si>
  <si>
    <t>/data/ts_bcf_meylan.dat</t>
  </si>
  <si>
    <t>QSAR regression model for fish BCF (based on Meylan model)</t>
  </si>
  <si>
    <t>{Units=log(L/kg), TS=/data/ts_bcf_meylan.dat}</t>
  </si>
  <si>
    <t>1.0.4</t>
  </si>
  <si>
    <t>Similarity index;Accuracy index;Concordance index;Max error index;LogP reliability;Descriptors range check;ACF index</t>
  </si>
  <si>
    <t>Predicted BCF [log(L/kg)];Predicted BCF [L/kg];Predicted LogP (Meylan/Kowwin);Predicted LogP reliability;MW;Ionic compound</t>
  </si>
  <si>
    <t>BEE_KNN</t>
  </si>
  <si>
    <t>insilico.bee_knn.ismBeeKnn</t>
  </si>
  <si>
    <t>Bee acute toxicity model (KNN-IRFMN)</t>
  </si>
  <si>
    <t>/data/ts_bee_knn.dat</t>
  </si>
  <si>
    <t>KNN model for bee contact and oral acute toxicity</t>
  </si>
  <si>
    <t>{HasAlerts=False, TS=/data/ts_bee_knn.dat}</t>
  </si>
  <si>
    <t>Predicted Toxicity activity;Molecules used for prediction</t>
  </si>
  <si>
    <t>CARC_ANTARES</t>
  </si>
  <si>
    <t>insilico.carcinogenicity_antares.ismCarcinogenicityAntares</t>
  </si>
  <si>
    <t>Carcinogenicity model (IRFMN-Antares)</t>
  </si>
  <si>
    <t>/data/carc_antares/ts_carc_antares.dat</t>
  </si>
  <si>
    <t>QSAR classification model for Carcinogenicity (IRFMN/Antares) based on the Antares dataset</t>
  </si>
  <si>
    <t>{0.0=NON-Carcinogen, 1.0=Carcinogen, -1.0=Possible NON-Carcinogen}</t>
  </si>
  <si>
    <t>{QMRF=/data/carc_antares/qmrf_carc_antares.xml, HasAlerts=True, TS=/data/carc_antares/ts_carc_antares.dat}</t>
  </si>
  <si>
    <t>1.0.2</t>
  </si>
  <si>
    <t>Predicted Carcinogenic activity;No. alerts for carcinogenicity</t>
  </si>
  <si>
    <t>CARC_ISS</t>
  </si>
  <si>
    <t>insilico.carcinogenicity_bb.ismCarcinogenicityBB</t>
  </si>
  <si>
    <t>Carcinogenicity model (ISS)</t>
  </si>
  <si>
    <t>/data/ts_carc_bb.dat</t>
  </si>
  <si>
    <t>Classification model for Carcinogenicity based on Benigni-Bossa (Istituto Superiore di SanitÃ ) rule set</t>
  </si>
  <si>
    <t>{0.0=NON-Carcinogen, 1.0=Carcinogen, -1.0=Not predicted}</t>
  </si>
  <si>
    <t>{HasAlerts=True, TS=/data/ts_carc_bb.dat}</t>
  </si>
  <si>
    <t>1.0.3</t>
  </si>
  <si>
    <t>Predicted Carcinogen activity</t>
  </si>
  <si>
    <t>CARC_CAESAR</t>
  </si>
  <si>
    <t>insilico.carcinogenicity_caesar.ismCarcinogenicityCaesar</t>
  </si>
  <si>
    <t>Carcinogenicity model (CAESAR)</t>
  </si>
  <si>
    <t>/data/ts_carc_caesar.dat</t>
  </si>
  <si>
    <t>QSAR classification model for Carcinogenicity (from CAESAR project)</t>
  </si>
  <si>
    <t>{QMRF=/data/CARC_CAESAR_QMRF.pdf, HasAlerts=False, TS=/data/ts_carc_caesar.dat}</t>
  </si>
  <si>
    <t>2.1.10</t>
  </si>
  <si>
    <t>Similarity index;Accuracy index;Concordance index;Descriptors range check;ACF index;Pos/Non-Pos difference;Neurons concordance</t>
  </si>
  <si>
    <t>Predicted Carcinogen activity;P(Carcinogen);P(NON-Carcinogen)</t>
  </si>
  <si>
    <t>CARC_ISSCAN-CGX</t>
  </si>
  <si>
    <t>insilico.carcinogenicity_isscancgx.ismCarcinogenicityIsscanCgx</t>
  </si>
  <si>
    <t>Carcinogenicity model (IRFMN-ISSCAN-CGX)</t>
  </si>
  <si>
    <t>/data/ts_carc_isscancgx.dat</t>
  </si>
  <si>
    <t>QSAR classification model for Carcinogenicity (IRFMN/ISSCAN-CGX) based on the ISSCAN-CGX dataset</t>
  </si>
  <si>
    <t>{HasAlerts=True, TS=/data/ts_carc_isscancgx.dat}</t>
  </si>
  <si>
    <t>CARCINOGENICTY_FEMALE</t>
  </si>
  <si>
    <t>insilico.carcinogenicity_rat_female.ismCarcinogenicityRatFemale</t>
  </si>
  <si>
    <t>Carcinogenicity in female Rat (CORAL)</t>
  </si>
  <si>
    <t>/data/ts_carcinogenicity_female.dat</t>
  </si>
  <si>
    <t>Carcinogenicity in female rat quantitative (TD50) model model (CORAL)</t>
  </si>
  <si>
    <t>{HasAlerts=False, TS=/data/ts_carcinogenicity_female.dat}</t>
  </si>
  <si>
    <t>Predicted TD50 [-log(mg/kg bw/day)];Predicted TD50 [mg/kg bw/day];Experimental TD50 [mg/kg bw/day]</t>
  </si>
  <si>
    <t>CARCINOGENICTY_MALE</t>
  </si>
  <si>
    <t>insilico.carcinogenicity_rat_male.ismCarcinogenicityRatMale</t>
  </si>
  <si>
    <t>Carcinogenicity in male rat (CORAL)</t>
  </si>
  <si>
    <t>/data/ts_carcinogenicity_male.dat</t>
  </si>
  <si>
    <t>Carcinogenicity in male rat quantitative (TD50) model model (CORAL)</t>
  </si>
  <si>
    <t>{HasAlerts=False, TS=/data/ts_carcinogenicity_male.dat}</t>
  </si>
  <si>
    <t>CARC_SFI_CLASS</t>
  </si>
  <si>
    <t>insilico.carcinogenicity_sfi_classification.ismCarcinogenicitySFIClassification</t>
  </si>
  <si>
    <t>Carcinogenicity inhalation classification model (IRFMN)</t>
  </si>
  <si>
    <t>/data/ts_carc_sficlassification.dat</t>
  </si>
  <si>
    <t>Classification model for carcinogenicity (inhalation route).</t>
  </si>
  <si>
    <t>{0.0=NON-Carcinogen, 1.0=Carcinogen}</t>
  </si>
  <si>
    <t>{HasAlerts=False, TS=/data/ts_carc_sficlassification.dat}</t>
  </si>
  <si>
    <t>Predicted Inhalation Carcinogenic class</t>
  </si>
  <si>
    <t>CARC_SFI_REGR</t>
  </si>
  <si>
    <t>insilico.carcinogenicity_sfiregression.ismCarcinogenicitySFIRegression</t>
  </si>
  <si>
    <t>Carcinogenicity inhalation Slope Factor model (IRFMN)</t>
  </si>
  <si>
    <t>/data/ts_carc_sfiregression.dat</t>
  </si>
  <si>
    <t>log(1/(mg/kg-day))</t>
  </si>
  <si>
    <t>Quantitative model for the carcinogenicity inhalation route) Slope Factor.</t>
  </si>
  <si>
    <t>{HasAlerts=False, Units=log(1/(mg/kg-day)), TS=/data/ts_carc_sfiregression.dat}</t>
  </si>
  <si>
    <t>Predicted Inhalation Carcinogenicity SF (log form) [log(1/(mg/kg-day))];Predicted Inhalation Carcinogenicity SF [1/(mg/kg-day)];Experimental value [1/(mg/kg-day)]</t>
  </si>
  <si>
    <t>CARC_SFO_CLASS</t>
  </si>
  <si>
    <t>insilico.carcinogenicity_sfoclassification.ismCarcinogenicitySFOClassification</t>
  </si>
  <si>
    <t>Carcinogenicity oral classification model (IRFMN)</t>
  </si>
  <si>
    <t>/data/ts_carc_sfoclassification.dat</t>
  </si>
  <si>
    <t>Classification model for carcinogenicity (oral route).</t>
  </si>
  <si>
    <t>{HasAlerts=False, TS=/data/ts_carc_sfoclassification.dat}</t>
  </si>
  <si>
    <t>Predicted Oral Carcinogenic class</t>
  </si>
  <si>
    <t>CARC_SFO_REGR</t>
  </si>
  <si>
    <t>insilico.carcinogenicity_sforegression.ismCarcinogenicitySFORegression</t>
  </si>
  <si>
    <t>Carcinogenicity oral Slope Factor model (IRFMN)</t>
  </si>
  <si>
    <t>/data/ts_carc_sforegression.dat</t>
  </si>
  <si>
    <t>Quantitative model for the carcinogenicity (oral route) Slope Factor.</t>
  </si>
  <si>
    <t>{HasAlerts=False, Units=log(1/(mg/kg-day)), TS=/data/ts_carc_sforegression.dat}</t>
  </si>
  <si>
    <t>Predicted Oral Carcinogenicity SF (log form) [log(1/(mg/kg-day))];Predicted Oral Carcinogenicity SF [1/(mg/kg-day)];Experimental value [1/(mg/kg-day)]</t>
  </si>
  <si>
    <t>CHROM_CORAL</t>
  </si>
  <si>
    <t>insilico.chromosomal_coral.ismChromosomalAberrationCoral</t>
  </si>
  <si>
    <t>Chromosomal aberration model (CORAL)</t>
  </si>
  <si>
    <t>/data/ts_chrom_coral.dat</t>
  </si>
  <si>
    <t>Classification model for chromosomal aberration</t>
  </si>
  <si>
    <t>{0.0=Not predicted, -1.0=Inactive, 1.0=Active}</t>
  </si>
  <si>
    <t>{HasAlerts=False, TS=/data/ts_chrom_coral.dat}</t>
  </si>
  <si>
    <t>Chromosomal aberration activity</t>
  </si>
  <si>
    <t>CRAMER_TOXTREE</t>
  </si>
  <si>
    <t>insilico.cramer_toxtree.ismCramerToxtree</t>
  </si>
  <si>
    <t>Cramer classification (TOXTREE)</t>
  </si>
  <si>
    <t>/data/ts_cramer_toxtree.dat</t>
  </si>
  <si>
    <t>Cramer classification from ToxTree 3.1.</t>
  </si>
  <si>
    <t>{HasAlerts=false, TS=/data/ts_cramer_toxtree.dat}</t>
  </si>
  <si>
    <t>Predicted Cramer class</t>
  </si>
  <si>
    <t>DAPHNIA_COMBASE</t>
  </si>
  <si>
    <t>insilico.daphnia_combase.ismDaphniaCombase</t>
  </si>
  <si>
    <t>Daphnia Magna Acute (EC50) Toxicity model (IRFMN-Combase)</t>
  </si>
  <si>
    <t>/data/ts_daphnia_combase.dat</t>
  </si>
  <si>
    <t>log(mmol/l)</t>
  </si>
  <si>
    <t>Quantitative model for acute toxicity (EC50) in daphnia magna, specific for biocides</t>
  </si>
  <si>
    <t>{QMRF=/insilico/model/daphnia/combase/data/QMRF_Daphnia_combase.pdf, HasAlerts=False, Units=log(mmol/l), TS=/data/ts_daphnia_combase.dat}</t>
  </si>
  <si>
    <t>Predicted daphnia EC50 (log form) [log(mmol/l))];Predicted daphnia EC50 [mg/l];Molecular Weight;Experimental value [mg/l]</t>
  </si>
  <si>
    <t>DAPHNIA_DEMETRA</t>
  </si>
  <si>
    <t>insilico.daphnia_demetra.ismDaphniaDemetra</t>
  </si>
  <si>
    <t>Daphnia Magna LC50 48h (DEMETRA)</t>
  </si>
  <si>
    <t>/data/ts_daphnia_demetra.dat</t>
  </si>
  <si>
    <t>Acute toxicity for Water Flea (Daphnia Magna) for pesticides: LC50 48-hours exposure</t>
  </si>
  <si>
    <t>{HasAlerts=False, Units=-log(mol/l), TS=/data/ts_daphnia_demetra.dat}</t>
  </si>
  <si>
    <t>1.0.5</t>
  </si>
  <si>
    <t>Predicted toxicity [-log(mol/l)];Predicted toxicity [mg/l];Molecular Weight;Experimental value [mg/l]</t>
  </si>
  <si>
    <t>DAPHNIA_EC50</t>
  </si>
  <si>
    <t>insilico.daphnia_ec50.ismDaphniaEC50</t>
  </si>
  <si>
    <t>Daphnia Magna Acute (EC50) Toxicity model (IRFMN)</t>
  </si>
  <si>
    <t>/data/ts_daphnia_ec50.dat</t>
  </si>
  <si>
    <t>Quantitative model for acute toxicity (EC50) in daphnia magna</t>
  </si>
  <si>
    <t>{HasAlerts=False, Units=log(mmol/l), TS=/data/ts_daphnia_ec50.dat}</t>
  </si>
  <si>
    <t>DAPHNIA_EPA</t>
  </si>
  <si>
    <t>insilico.daphnia_epa.ismDaphniaEPA</t>
  </si>
  <si>
    <t>Daphnia Magna LC50 48h (EPA)</t>
  </si>
  <si>
    <t>/data/ts_daphnia_epa.dat</t>
  </si>
  <si>
    <t>QSAR model for Daphnia Magna LC50 48h (from EPA T.E.S.T software)</t>
  </si>
  <si>
    <t>{HasAlerts=False, Units=-log(mol/l), TS=/data/ts_daphnia_epa.dat}</t>
  </si>
  <si>
    <t>1.0.9</t>
  </si>
  <si>
    <t>DAPHNIA_NOEC</t>
  </si>
  <si>
    <t>insilico.daphnia_noec.ismDaphniaNOEC</t>
  </si>
  <si>
    <t>Daphnia Magna Chronic (NOEC) Toxicity model (IRFMN)</t>
  </si>
  <si>
    <t>/data/ts_daphnia_noec.dat</t>
  </si>
  <si>
    <t>Quantitative model for chronic toxicity (NOEC) in daphnia magna</t>
  </si>
  <si>
    <t>{HasAlerts=False, Units=log(mmol/l), TS=/data/ts_daphnia_noec.dat}</t>
  </si>
  <si>
    <t>Predicted daphnia NOEC (log form) [log(mmol/l))];Predicted daphnia NOEC [mg/l];Molecular Weight;Experimental value [mg/l]</t>
  </si>
  <si>
    <t>DEVTOX_CAESAR</t>
  </si>
  <si>
    <t>insilico.devtox_caesar.ismDevtoxCaesar</t>
  </si>
  <si>
    <t>Developmental Toxicity model (CAESAR)</t>
  </si>
  <si>
    <t>/data/ts_devtox_caesar.dat</t>
  </si>
  <si>
    <t>QSAR classification model for Developmental Toxicity (from CAESAR project)</t>
  </si>
  <si>
    <t>{0.0=NON-Toxicant, 1.0=Toxicant, -1.0=Not Classifiable}</t>
  </si>
  <si>
    <t>{HasAlerts=False, TS=/data/ts_devtox_caesar.dat}</t>
  </si>
  <si>
    <t>2.1.8</t>
  </si>
  <si>
    <t>Predicted developmental toxicity activity</t>
  </si>
  <si>
    <t>DEVTOX_PG</t>
  </si>
  <si>
    <t>insilico.devtox_pg.ismDevToxPG</t>
  </si>
  <si>
    <t>Developmental/Reproductive Toxicity library (PG)</t>
  </si>
  <si>
    <t>/data/ts_devtox_pg.dat</t>
  </si>
  <si>
    <t>Virtual compound library for Developmental/Reproductive (developed by Procter And Gamble)</t>
  </si>
  <si>
    <t>{0.0=NON-Toxicant, 1.0=Toxicant, -1.0=Not Classifiable, 2.0=Reproductive and developmental toxicant, 4.0=Reproductive toxicant (no data on developmental toxicity), 8.0=Developmental toxicant (no data on reproductive toxicity), 9.0=Developmental NON-toxicant (no data on reproductive toxicity), 5.0=Developmental toxicant, reproductive NON-toxicant, 10.0=No data on reproductive and developmental toxicity, 3.0=Reproductive toxicant, developmental NON-toxicant, 6.0=Reproductive and developmental NON-toxicant, 7.0=Reproductive NON-toxicant (no data on developmental toxicity)}</t>
  </si>
  <si>
    <t>{HasAlerts=False, TS=/data/ts_devtox_pg.dat}</t>
  </si>
  <si>
    <t>1.1.2</t>
  </si>
  <si>
    <t>Predicted Developmental and Reproductive activity;Predicted category;Predicted category description;Predicted sub-category;Matching rule/virtual compound</t>
  </si>
  <si>
    <t>EW_TOXICITY</t>
  </si>
  <si>
    <t>insilico.earthworm_toxicity.ismEarthworkToxicity</t>
  </si>
  <si>
    <t>Earthworm Toxicity (CONCERT)</t>
  </si>
  <si>
    <t>/data/ts_earthworm_toxicity.dat</t>
  </si>
  <si>
    <t>Quantitative model for earthworm toxicity</t>
  </si>
  <si>
    <t>{Units=-Log mg/kg, TS=/data/ts_earthworm_toxicity.dat}</t>
  </si>
  <si>
    <t>pNOEC [-log(mg/Kg)];NOEC [mg/Kg]</t>
  </si>
  <si>
    <t>ED_SCREEN</t>
  </si>
  <si>
    <t>insilico.endocrine_disruptors_irfmn.ismEndocrineDisruptorsIRFMN</t>
  </si>
  <si>
    <t>Endocrine Disruptor activity screening (IRFMN)</t>
  </si>
  <si>
    <t>/data/ts_endocrine_disruptors.dat</t>
  </si>
  <si>
    <t>Screening for ED activity based on EC lists and categories (IRFMN)</t>
  </si>
  <si>
    <t>{0.0=Inactive, 1.0=Active}</t>
  </si>
  <si>
    <t>{HasAlerts=False, TS=/data/ts_endocrine_disruptors.dat}</t>
  </si>
  <si>
    <t>Predicted ED activity;ED activity reason</t>
  </si>
  <si>
    <t>EYE IRRITATION</t>
  </si>
  <si>
    <t>insilico.eye_irritation.ismEyeIrritation</t>
  </si>
  <si>
    <t>Eye Irritation (CONCERT/Kode)</t>
  </si>
  <si>
    <t>/data/ts_eye_irritation.dat</t>
  </si>
  <si>
    <t>Eye irritation model (CONCERT/Kode)</t>
  </si>
  <si>
    <t>{0.0=NOT IRRITANT, 1.0=IRRITANT}</t>
  </si>
  <si>
    <t>{HasAlerts=False, TS=/data/ts_eye_irritation.dat}</t>
  </si>
  <si>
    <t>Predicted Eye Irritation class</t>
  </si>
  <si>
    <t>EYE_IRRITATION_KNN</t>
  </si>
  <si>
    <t>insilico.eye_irritation_knn.ismEyeIrritationKnn</t>
  </si>
  <si>
    <t>Eye Irritation (CONCERT/KNN)</t>
  </si>
  <si>
    <t>/data/ts_eye_irritation_knn.dat</t>
  </si>
  <si>
    <t>Qualitative model for Eye Irritation</t>
  </si>
  <si>
    <t>{0.0=NON-Irritating, 1.0=Irritating, -999.0=Non Predicted}</t>
  </si>
  <si>
    <t>{HasAlerts=False, TS=/data/ts_eye_irritation_knn.dat}</t>
  </si>
  <si>
    <t>Predicted eye irritating;Molecules used for prediction</t>
  </si>
  <si>
    <t>EYE_IRRITATION_SARPY</t>
  </si>
  <si>
    <t>insilico.eye_irritation_sarpy.ismEyeIrritationSarpy</t>
  </si>
  <si>
    <t>Eye Irritation (CONCERT/SarPy)</t>
  </si>
  <si>
    <t>/data/ts_eye_irritation_sarpy.dat</t>
  </si>
  <si>
    <t>{0.0=NON-Irritating, 1.0=Irritating, -1.0=N.A.}</t>
  </si>
  <si>
    <t>{HasAlerts=True, TS=/data/ts_eye_irritation_sarpy.dat}</t>
  </si>
  <si>
    <t>Predicted Eye irritation activity;No. alerts for irriratarion activity;No. alerts for non-irritation activity</t>
  </si>
  <si>
    <t>FATHEAD_EPA</t>
  </si>
  <si>
    <t>insilico.fathead_epa.ismFatheadEPA</t>
  </si>
  <si>
    <t>Fathead Minnow LC50 96h (EPA)</t>
  </si>
  <si>
    <t>/data/ts_fathead_epa.dat</t>
  </si>
  <si>
    <t>QSAR model for Fathead Minnow LC50 96h (from EPA T.E.S.T software)</t>
  </si>
  <si>
    <t>{HasAlerts=False, Units=-log(mol/l), TS=/data/ts_fathead_epa.dat}</t>
  </si>
  <si>
    <t>1.0.10</t>
  </si>
  <si>
    <t>FATHEAD_KNN</t>
  </si>
  <si>
    <t>insilico.fathead_knn.ismFatheadKnn</t>
  </si>
  <si>
    <t>Fathead Minnow LC50 model (KNN-IRFMN)</t>
  </si>
  <si>
    <t>/data/ts_fathead_knn.dat</t>
  </si>
  <si>
    <t>log 1/LC50(mmol/L)</t>
  </si>
  <si>
    <t>KNN model for acute toxicity on fathead minnow</t>
  </si>
  <si>
    <t>{HasAlerts=False, Units=log 1/LC50(mmol/L), TS=/data/ts_fathead_knn.dat}</t>
  </si>
  <si>
    <t>Predicted toxicity [log 1/LC50(mmol/L)];Predicted toxicity [mg/l];Molecules used for prediction;Molecular Weight;Experimental value [mg/l]</t>
  </si>
  <si>
    <t>FISH_COMBASE</t>
  </si>
  <si>
    <t>insilico.fish_combase.ismFishCombase</t>
  </si>
  <si>
    <t>Fish Acute (LC50) Toxicity model (IRFMN-Combase)</t>
  </si>
  <si>
    <t>/data/ts_fish_combase.dat</t>
  </si>
  <si>
    <t>Quantitative model for acute toxicity (LC50) in fish, specific for biocides</t>
  </si>
  <si>
    <t>{HasAlerts=False, Units=-log(mmol/l), TS=/data/ts_fish_combase.dat}</t>
  </si>
  <si>
    <t>Predicted LC50 [-log(mmol/L)];Predicted LC50 [mg/l];Molecular Weight;Experimental value [mg/l]</t>
  </si>
  <si>
    <t>FISH_IRFMN</t>
  </si>
  <si>
    <t>insilico.fish_irfmn.ismFishIRFMN</t>
  </si>
  <si>
    <t>Fish Acute (LC50) Toxicity classification (SarPy-IRFMN)</t>
  </si>
  <si>
    <t>/data/ts_fish_irfmn.dat</t>
  </si>
  <si>
    <t>QSAR classification model for fish acute (LC50) toxicity</t>
  </si>
  <si>
    <t>{1.0=Toxic-1 (less than 1 mg/l), 2.0=Toxic-2 (between 1 and 10 mg/l), 4.0=NON-Toxic (more than 100 mg/l), 3.0=Toxic-3 (between 10 and 100 mg/l)}</t>
  </si>
  <si>
    <t>{HasAlerts=True, TS=/data/ts_fish_irfmn.dat}</t>
  </si>
  <si>
    <t>Predicted toxicity class</t>
  </si>
  <si>
    <t>FISH_KNN</t>
  </si>
  <si>
    <t>insilico.fish_knn.ismFishKnn</t>
  </si>
  <si>
    <t>Fish Acute (LC50) Toxicity model (KNN-Read-Across)</t>
  </si>
  <si>
    <t>/data/ts_fish_knn.dat</t>
  </si>
  <si>
    <t>KNN (Read-Across) model for fish acute (LC50) toxicity</t>
  </si>
  <si>
    <t>{Units=-log(mg/L), TS=/data/ts_fish_knn.dat}</t>
  </si>
  <si>
    <t>Predicted toxicity [-log(mg/L)];Predicted toxicity [mg/L];Molecules used for prediction;Experimental value [mg/l]</t>
  </si>
  <si>
    <t>FISH_LC50</t>
  </si>
  <si>
    <t>insilico.fish_lc50.ismFishLC50</t>
  </si>
  <si>
    <t>Fish Acute (LC50) Toxicity model (IRFMN)</t>
  </si>
  <si>
    <t>/data/ts_fish_lc50.dat</t>
  </si>
  <si>
    <t>Quantitative model for acute toxicity (LC50) in fish.</t>
  </si>
  <si>
    <t>{HasAlerts=False, Units=a-dimensional, TS=/data/ts_fish_lc50.dat}</t>
  </si>
  <si>
    <t>Predicted LC50 [a-dimensional];Predicted LC50 [mg/l];Molecular Weight;Experimental value [mg/l]</t>
  </si>
  <si>
    <t>FISH_NIC</t>
  </si>
  <si>
    <t>insilico.fish_nic.ismFishNic</t>
  </si>
  <si>
    <t>Fish Acute (LC50) Toxicity model (NIC)</t>
  </si>
  <si>
    <t>/data/ts_fish_nic.dat</t>
  </si>
  <si>
    <t>log(1/(mmol/L))</t>
  </si>
  <si>
    <t>QSAR quantitative model for fish acute toxicity (by NIC)</t>
  </si>
  <si>
    <t>{HasAlerts=False, Units=log(1/(mmol/L)), TS=/data/ts_fish_nic.dat}</t>
  </si>
  <si>
    <t>Predicted fish toxicity [log(1/(mmol/L))];Predicted fish toxicity [mg/l];Molecular Weight;Experimental value [mg/l]</t>
  </si>
  <si>
    <t>FISH_NOEC</t>
  </si>
  <si>
    <t>insilico.fish_noec.ismFishNOEC</t>
  </si>
  <si>
    <t>Fish Chronic (NOEC) Toxicity model (IRFMN)</t>
  </si>
  <si>
    <t>/data/ts_fish_noec.dat</t>
  </si>
  <si>
    <t>Quantitative model for chronic toxicity (NOEC) in fish.</t>
  </si>
  <si>
    <t>{HasAlerts=False, Units=a-dimensional, TS=/data/ts_fish_noec.dat}</t>
  </si>
  <si>
    <t>GLUCO_RECEPTOR</t>
  </si>
  <si>
    <t>insilico.glucocorticoid_receptor.ismGlucocorticoidReceptor</t>
  </si>
  <si>
    <t>Glucocorticoid Receptor (OBERON)</t>
  </si>
  <si>
    <t>/data/ts_glucocorticoid_receptor.dat</t>
  </si>
  <si>
    <t>Glucocorticoid Receptor classification model, developed within the OBERON project</t>
  </si>
  <si>
    <t>{-1.0=Not predicted, 0.0=Inactive, 1.0=Agonist, 2.0=Antagonist, 3.0=A-Anta}</t>
  </si>
  <si>
    <t>{HasAlerts=False, Units=a-dimensional, TS=/data/ts_glucocorticoid_receptor.dat}</t>
  </si>
  <si>
    <t>Predicted Receptor Activity</t>
  </si>
  <si>
    <t>GUPPY_KNN</t>
  </si>
  <si>
    <t>insilico.guppy_knn.ismGuppyKnn</t>
  </si>
  <si>
    <t>Guppy LC50 model (KNN-IRFMN)</t>
  </si>
  <si>
    <t>/data/ts_guppy_knn.dat</t>
  </si>
  <si>
    <t>KNN model for acute toxicity on guppy</t>
  </si>
  <si>
    <t>{Units=log 1/LC50(mmol/L), TS=/data/ts_guppy_knn.dat}</t>
  </si>
  <si>
    <t>HENRY_OPERA</t>
  </si>
  <si>
    <t>insilico.henryslaw.ismHenrysLawOpera</t>
  </si>
  <si>
    <t>Henry's Law model (OPERA)</t>
  </si>
  <si>
    <t>/data/ts_henryslaw_opera.dat</t>
  </si>
  <si>
    <t>Log atm-m3/mole</t>
  </si>
  <si>
    <t>KNN model for Henry's Law</t>
  </si>
  <si>
    <t>{Units=Log atm-m3/mole, TS=/data/ts_henryslaw_opera.dat}</t>
  </si>
  <si>
    <t>Predicted Henry's law [log atm-m3/mole]</t>
  </si>
  <si>
    <t>HEPA_IRFMN</t>
  </si>
  <si>
    <t>insilico.hepatoxicty_irfmn.ismHepatotoxicityIrfmn</t>
  </si>
  <si>
    <t>Hepatotoxicity model (IRFMN)</t>
  </si>
  <si>
    <t>/data/ts_hepa_irfmn.dat</t>
  </si>
  <si>
    <t>QSAR classification model for Hepatotoxicity (IRFMN)</t>
  </si>
  <si>
    <t>{0.0=NON-Toxic, 1.0=Toxic, -1.0=Unknown}</t>
  </si>
  <si>
    <t>{HasAlerts=True, TS=/data/ts_hepa_irfmn.dat}</t>
  </si>
  <si>
    <t>Predicted Hepatotoxicity;No. alerts for toxicity;No. alerts for non-toxicity</t>
  </si>
  <si>
    <t>HYDROLYSIS_CORAL</t>
  </si>
  <si>
    <t>insilico.hydrolysis_coral.ismHydrolysisCoral</t>
  </si>
  <si>
    <t>Hydrolysis (IRFMN-CORAL)</t>
  </si>
  <si>
    <t>/data/ts_hydrolysis_coral.dat</t>
  </si>
  <si>
    <t>log(days)</t>
  </si>
  <si>
    <t>Quantitative model for hydrolysis.</t>
  </si>
  <si>
    <t>{HasAlerts=False, Units=log(days), TS=/data/ts_hydrolysis_coral.dat}</t>
  </si>
  <si>
    <t>Predicted Hydrolysis [log(days)];Predicted Hydrolysis [days];Experimental Hydrolysis [days]</t>
  </si>
  <si>
    <t>KM_ARNOT</t>
  </si>
  <si>
    <t>insilico.km_arnot.ismKmArnot</t>
  </si>
  <si>
    <t>kM/Half-Life model (Arnot-EpiSuite)</t>
  </si>
  <si>
    <t>/data/ts_km_arnot.dat</t>
  </si>
  <si>
    <t>log days</t>
  </si>
  <si>
    <t>kM/Half-Life (days) model based on Arnot work (and implemented in EPI Suite software in the BCFBAF module).</t>
  </si>
  <si>
    <t>{Units=log days, TS=/data/ts_km_arnot.dat}</t>
  </si>
  <si>
    <t>Similarity index;Accuracy index;Concordance index;Max error index</t>
  </si>
  <si>
    <t>Predicted log kM/Half-Life (days);Predicted kM/Half-Life (days);Predicted LogP (Meylan/Kowwin);Predicted LogP reliability;MW</t>
  </si>
  <si>
    <t>KOA_OPERA</t>
  </si>
  <si>
    <t>insilico.koa_opera.ismKoaOpera</t>
  </si>
  <si>
    <t>KOA model (OPERA)</t>
  </si>
  <si>
    <t>/data/ts_koa_opera.dat</t>
  </si>
  <si>
    <t>log units</t>
  </si>
  <si>
    <t>KNN model for KOA (octanol/air coefficient)</t>
  </si>
  <si>
    <t>{Units=log units, TS=/data/ts_koa_opera.dat}</t>
  </si>
  <si>
    <t>Predicted KOA [log units]</t>
  </si>
  <si>
    <t>KOC_OPERA</t>
  </si>
  <si>
    <t>insilico.koc_opera.ismKocOpera</t>
  </si>
  <si>
    <t>KOC model (OPERA)</t>
  </si>
  <si>
    <t>/data/ts_koc_opera.dat</t>
  </si>
  <si>
    <t>log(L/Kg)</t>
  </si>
  <si>
    <t>KNN model for KOC (soil adsorption coefficient of organic compounds)</t>
  </si>
  <si>
    <t>{Units=log(L/Kg), TS=/data/ts_koc_opera.dat}</t>
  </si>
  <si>
    <t>Predicted KOC [log(L/Kg)]</t>
  </si>
  <si>
    <t>LD50_KNN</t>
  </si>
  <si>
    <t>insilico.ld50.ismLD50</t>
  </si>
  <si>
    <t>Acute Toxicity (LD50) model (KNN)</t>
  </si>
  <si>
    <t>/data/acute_ld50/ts_ld50_knn.dat</t>
  </si>
  <si>
    <t>log(mmol/kg)</t>
  </si>
  <si>
    <t>KNN model for acute toxicity (LD50)</t>
  </si>
  <si>
    <t>{QMRF=/data/acute_ld50/qmrf_acute_ld50.xml, HasAlerts=False, Units=log(mmol/kg), TS=/data/acute_ld50/ts_ld50_knn.dat}</t>
  </si>
  <si>
    <t>Predicted log LD50 [log(mmol/Kg)];Predicted log LD50 [mg/Kg];Molecules used for prediction;Experimental value [mg/Kg]</t>
  </si>
  <si>
    <t>LOEL_LIVER_CORAL</t>
  </si>
  <si>
    <t>insilico.loael_coral_liver.ismLoaelCoralLiver</t>
  </si>
  <si>
    <t>Liver LOAEL (CORAL)</t>
  </si>
  <si>
    <t>/data/ts_loael_liver_coral.dat</t>
  </si>
  <si>
    <t>log(mg/kg bw)</t>
  </si>
  <si>
    <t>Liver LOAEL in Rats for oral sub-chronic RDT (CORAL)</t>
  </si>
  <si>
    <t>{HasAlerts=False, Units=log(mg/kg bw), TS=/data/ts_loael_liver_coral.dat}</t>
  </si>
  <si>
    <t>Liver LOAEL [log(mg/kg bw)]</t>
  </si>
  <si>
    <t>LOAEL_CONCERT_CORAL</t>
  </si>
  <si>
    <t>insilico.loael_general_coral.ismLoaelGeneralCoral</t>
  </si>
  <si>
    <t>LOAEL (CONCERT/Coral)</t>
  </si>
  <si>
    <t>/data/ts_loael_general_coral.dat</t>
  </si>
  <si>
    <t>Quantitative model for LOAEL (CONCERT/Coral).</t>
  </si>
  <si>
    <t>{HasAlerts=False, Units=log(mg/kg bw), TS=/data/ts_loael_general_coral.dat}</t>
  </si>
  <si>
    <t>LOAEL [log(mg/kg bw)]</t>
  </si>
  <si>
    <t>LOEL_IRFMN</t>
  </si>
  <si>
    <t>insilico.loel_irfmn.ismLoelIrfmn</t>
  </si>
  <si>
    <t>Sub-Chronic Toxicity in rat (LOEL) model (IRFMN-UniBa)</t>
  </si>
  <si>
    <t>/data/ts_loel_irfmn.dat</t>
  </si>
  <si>
    <t>log(mg/Kg body weight/day)</t>
  </si>
  <si>
    <t>Sub-Chronic Toxicity in rat (LOEL) model</t>
  </si>
  <si>
    <t>{HasAlerts=False, Units=log(mg/Kg body weight/day), TS=/data/ts_loel_irfmn.dat}</t>
  </si>
  <si>
    <t>Predicted LOEL [log(mg/Kg body weight/day)];Predicted LOEL [mg/Kg body weight/day];Molecules used for prediction;Experimental LOEL [mg/Kg body weight/day]</t>
  </si>
  <si>
    <t>PPB_LOGK</t>
  </si>
  <si>
    <t>insilico.logk.ismLogK</t>
  </si>
  <si>
    <t>Plasma Protein Binding - LogK (IRFMN)</t>
  </si>
  <si>
    <t>/data/ts_logk.dat</t>
  </si>
  <si>
    <t>Plasma Protein Binding fraction unbound expressed as LogK quantitative prediction</t>
  </si>
  <si>
    <t>{HasAlerts=False, Units=a-dimensional, TS=/data/ts_logk.dat}</t>
  </si>
  <si>
    <t>PPB [logK]</t>
  </si>
  <si>
    <t>LOGP_ALOGP</t>
  </si>
  <si>
    <t>insilico.logp_alogp.ismLogPALogP</t>
  </si>
  <si>
    <t>LogP model (ALogP)</t>
  </si>
  <si>
    <t>/data/ts_logp_alogp.dat</t>
  </si>
  <si>
    <t>LogP model based on ALogP descriptor.</t>
  </si>
  <si>
    <t>{TS=/data/ts_logp_alogp.dat}</t>
  </si>
  <si>
    <t>Predicted LogP</t>
  </si>
  <si>
    <t>LOGP_MLOGP</t>
  </si>
  <si>
    <t>insilico.logp_mlogp.ismLogPMLogP</t>
  </si>
  <si>
    <t>LogP model (MLogP)</t>
  </si>
  <si>
    <t>/data/ts_logp_mlogp.dat</t>
  </si>
  <si>
    <t>LogP model based on MLogP descriptor.</t>
  </si>
  <si>
    <t>{TS=/data/ts_logp_mlogp.dat}</t>
  </si>
  <si>
    <t>MELTING_POINT</t>
  </si>
  <si>
    <t>insilico.melting_point.ismMeltingPoint</t>
  </si>
  <si>
    <t>Melting Point (CONCERT/Kode)</t>
  </si>
  <si>
    <t>/data/ts_melting_point.dat</t>
  </si>
  <si>
    <t>Â°C</t>
  </si>
  <si>
    <t>Quantitative model for melting point in celsius degree</t>
  </si>
  <si>
    <t>{HasAlerts=False, Units=Â°C, TS=/data/ts_melting_point.dat}</t>
  </si>
  <si>
    <t>Melting Point [Â°C]</t>
  </si>
  <si>
    <t>MELTING_POINT_KNN</t>
  </si>
  <si>
    <t>insilico.melting_point_knn.ismMeltingPointKnn</t>
  </si>
  <si>
    <t>Melting Point (CONCERT/KNN)</t>
  </si>
  <si>
    <t>/data/ts_melting_point_knn.dat</t>
  </si>
  <si>
    <t>Quantitative KNN model for melting point in celsius degree</t>
  </si>
  <si>
    <t>{HasAlerts=False, Units=Â°C, TS=/data/ts_melting_point_knn.dat}</t>
  </si>
  <si>
    <t>Predicted melting point [Â°C];Molecules used for prediction</t>
  </si>
  <si>
    <t>LOGP_MEYLAN</t>
  </si>
  <si>
    <t>insilico.meylanlogp.ismLogPMeylan</t>
  </si>
  <si>
    <t>LogP model (Meylan-Kowwin)</t>
  </si>
  <si>
    <t>/data/ts_logp_meylan.dat</t>
  </si>
  <si>
    <t>LogP model based on Meylan work (and implemented in EPI Suite software as KowWin)</t>
  </si>
  <si>
    <t>{TS=/data/ts_logp_meylan.dat}</t>
  </si>
  <si>
    <t>1.1.5</t>
  </si>
  <si>
    <t>MNVITRO_VERMEER</t>
  </si>
  <si>
    <t>insilico.micronculeus_vitro.ismMicronucleusInVitro</t>
  </si>
  <si>
    <t>In vitro Micronucleus activity (IRFMN-VERMEER)</t>
  </si>
  <si>
    <t>/data/ts_micronucleus_vitro.dat</t>
  </si>
  <si>
    <t>Classification model for In vitro Micronucleus activity (IRFMN/VERMEER).</t>
  </si>
  <si>
    <t>{-1.0=Not predicted, 0.0=Inactive, 1.0=Active}</t>
  </si>
  <si>
    <t>{HasAlerts=True, TS=/data/ts_micronucleus_vitro.dat}</t>
  </si>
  <si>
    <t>Predicted Micronucleus activity</t>
  </si>
  <si>
    <t>MNVIVO_IRFMN</t>
  </si>
  <si>
    <t>insilico.micronuclueus_vivo.ismMicronucleusInVivo</t>
  </si>
  <si>
    <t>In vivo Micronucleus activity (IRFMN)</t>
  </si>
  <si>
    <t>/data/ts_micronucleus_vivo.dat</t>
  </si>
  <si>
    <t>Classification model for In Vivo Micronucleus activity (IRFMN).</t>
  </si>
  <si>
    <t>{-1.0=Not predicted, 0.0=NON-genotoxic, 1.0=Genotoxic}</t>
  </si>
  <si>
    <t>{HasAlerts=True, TS=/data/ts_micronucleus_vivo.dat}</t>
  </si>
  <si>
    <t>Predicted activity;Consensus status;Sarpy model result;Sarpy used alerts reliability;KNN model result;KNN reliability;KNN molecules used for prediction</t>
  </si>
  <si>
    <t>MOA_EPA</t>
  </si>
  <si>
    <t>insilico.moa_epa.ismMoaEpa</t>
  </si>
  <si>
    <t>MOA fish toxicity classification (EPA T.E.S.T.)</t>
  </si>
  <si>
    <t>/data/ts_moa_epa.dat</t>
  </si>
  <si>
    <t>Classification model for MOA fish toxicity</t>
  </si>
  <si>
    <t>{0.0=AChE Inhibition, 1.0=Anticoagulation, 2.0=nACHr Antagonism, 4.0=Neurotoxicity, -1.0=N/A, 5.0=Reactivity, 3.0=Narcosis, 6.0=Uncoupler}</t>
  </si>
  <si>
    <t>{HasAlerts=False, TS=/data/ts_moa_epa.dat}</t>
  </si>
  <si>
    <t>Predicted MOA toxicity;Score for MOA: AChE Inhibition;Score for MOA: Anticoagulation;Score for MOA: nACHr Antagonism;Score for MOA: Narcosis;Score for MOA: Neurotoxicity;Score for MOA: Reactivity;Score for MOA: Uncoupler</t>
  </si>
  <si>
    <t>MOA_IRFMN</t>
  </si>
  <si>
    <t>insilico.moa_irfmn.ismMoaIrfmn</t>
  </si>
  <si>
    <t>MOA pesticide classification (IRFMN)</t>
  </si>
  <si>
    <t>/data/ts_moa_irfmn.dat</t>
  </si>
  <si>
    <t>{0.0=No MoA, 1.0=MoA identified}</t>
  </si>
  <si>
    <t>{HasAlerts=true, TS=/data/ts_moa_irfmn.dat}</t>
  </si>
  <si>
    <t>Predicted MoA;Other MoA identified</t>
  </si>
  <si>
    <t>MUTA_AMINES</t>
  </si>
  <si>
    <t>insilico.mutagenicity_amines.ismMutagenicityAmines</t>
  </si>
  <si>
    <t>Mutagenicity (Ames test) model for aromatic amines (CONCERT/IRFMN)</t>
  </si>
  <si>
    <t>/data/ts_muta_amines.dat</t>
  </si>
  <si>
    <t>A knowledge-based expert rule system for predicting mutagenicity (AMES test) of aromatic amines.</t>
  </si>
  <si>
    <t>{0.0=NON-Mutagenic, 1.0=Mutagenic, -1.0=NA}</t>
  </si>
  <si>
    <t>{HasAlerts=True, TS=/data/ts_muta_amines.dat}</t>
  </si>
  <si>
    <t>Predicted Mutagen activity</t>
  </si>
  <si>
    <t>MUTA_ISS</t>
  </si>
  <si>
    <t>insilico.mutagenicity_bb.ismMutagenicityBB</t>
  </si>
  <si>
    <t>Mutagenicity (Ames test) model (ISS)</t>
  </si>
  <si>
    <t>/data/ts_muta_bb.dat</t>
  </si>
  <si>
    <t>Classification model for Mutagenicity (Ames test) based on Benigni-Bossa (Istituto Superiore di SanitÃ ) rule set</t>
  </si>
  <si>
    <t>{0.0=NON-Mutagenic, 1.0=Mutagenic, -1.0=Not classifiable}</t>
  </si>
  <si>
    <t>{HasAlerts=True, TS=/data/ts_muta_bb.dat}</t>
  </si>
  <si>
    <t>MUTA_CAESAR</t>
  </si>
  <si>
    <t>insilico.mutagenicity_caesar.ismMutagenicityCaesar</t>
  </si>
  <si>
    <t>Mutagenicity (Ames test) model (CAESAR)</t>
  </si>
  <si>
    <t>/data/ts_muta_caesar.dat</t>
  </si>
  <si>
    <t>QSAR classification model for Mutagenicity (from CAESAR project)</t>
  </si>
  <si>
    <t>{0.0=NON-Mutagenic, 1.0=Mutagenic, 2.0=Suspect Mutagenic, -1.0=Not classifiable}</t>
  </si>
  <si>
    <t>{QMRF=/data/muta_caesar/qmrf_muta_caesar.xml, HasAlerts=True, TS=/data/ts_muta_caesar.dat}</t>
  </si>
  <si>
    <t>2.1.14</t>
  </si>
  <si>
    <t>MUTA_KNN</t>
  </si>
  <si>
    <t>insilico.mutagenicity_knn.ismMutagenicityKnn</t>
  </si>
  <si>
    <t>Mutagenicity (Ames test) model (KNN-Read-Across)</t>
  </si>
  <si>
    <t>/data/ts_muta_knn.dat</t>
  </si>
  <si>
    <t>KNN (Read-Across) model for Mutagenicity (Ames test)</t>
  </si>
  <si>
    <t>{0.0=NON-Mutagenic, 1.0=Mutagenic, -999.0=Non Predicted}</t>
  </si>
  <si>
    <t>{HasAlerts=False, TS=/data/ts_muta_knn.dat}</t>
  </si>
  <si>
    <t>Predicted Mutagen activity;Molecules used for prediction</t>
  </si>
  <si>
    <t>MUTA_SARPY</t>
  </si>
  <si>
    <t>insilico.mutagenicity_sarpy.ismMutagenicitySarpy</t>
  </si>
  <si>
    <t>Mutagenicity (Ames test) model (SarPy-IRFMN)</t>
  </si>
  <si>
    <t>/data/ts_muta_sarpy.dat</t>
  </si>
  <si>
    <t>QSAR classification model for Mutagenicity (SarPy/IRFMN)</t>
  </si>
  <si>
    <t>{0.0=NON-Mutagenic, 1.0=Mutagenic, -1.0=Possible NON-Mutagenic}</t>
  </si>
  <si>
    <t>{HasAlerts=True, TS=/data/ts_muta_sarpy.dat}</t>
  </si>
  <si>
    <t>1.0.8</t>
  </si>
  <si>
    <t>Predicted Mutagen activity;No. alerts for mutagenicity;No. alerts for non-mutagenicity</t>
  </si>
  <si>
    <t>NOAEL_LIVER_CORAL</t>
  </si>
  <si>
    <t>insilico.noael_coral_liver.ismNoaelCoralLiver</t>
  </si>
  <si>
    <t>Liver NOAEL (CORAL)</t>
  </si>
  <si>
    <t>/data/ts_noael_liver_coral.dat</t>
  </si>
  <si>
    <t>Liver NOAEL in Rats for oral sub-chronic RDT (CORAL)</t>
  </si>
  <si>
    <t>{HasAlerts=False, Units=log(mg/kg bw), TS=/data/ts_noael_liver_coral.dat}</t>
  </si>
  <si>
    <t>Liver NOAEL [log(mg/kg bw)]</t>
  </si>
  <si>
    <t>NOAEL_CONCERT_CORAL</t>
  </si>
  <si>
    <t>insilico.noael_general_coral.ismNoaelGeneralCoral</t>
  </si>
  <si>
    <t>NOAEL (CONCERT/Coral)</t>
  </si>
  <si>
    <t>/data/ts_noael_general_coral.dat</t>
  </si>
  <si>
    <t>Quantitative model for NOAEL (CONCERT/Coral).</t>
  </si>
  <si>
    <t>{HasAlerts=False, Units=log(mg/kg bw), TS=/data/ts_noael_general_coral.dat}</t>
  </si>
  <si>
    <t>NOAEL [log(mg/kg bw)]</t>
  </si>
  <si>
    <t>NOAEL_CORAL</t>
  </si>
  <si>
    <t>insilico.noel_coral.ismNoaelCoral</t>
  </si>
  <si>
    <t>NOAEL (IRFMN-CORAL)</t>
  </si>
  <si>
    <t>/data/ts_noael_coral.dat</t>
  </si>
  <si>
    <t>Quantitative model for NOAEL.</t>
  </si>
  <si>
    <t>{HasAlerts=False, Units=-log(mg/kg), TS=/data/ts_noael_coral.dat}</t>
  </si>
  <si>
    <t>Predicted NOAEL [-log(mg/kg)];Predicted NOAEL [mg/kg];Experimental NOAEL [mg/kg]</t>
  </si>
  <si>
    <t>HEPA_NRF2</t>
  </si>
  <si>
    <t>insilico.nrf2_up.ismNRF2Up</t>
  </si>
  <si>
    <t>Hepatic Steatosis MIE assay for NRF2 (TOXCAST)</t>
  </si>
  <si>
    <t>/data/ts_nrf2_up.dat</t>
  </si>
  <si>
    <t>Assays of MIE for hepatic steatosis with target NRF2 activity classification prediction (TOXCAST)</t>
  </si>
  <si>
    <t>{HasAlerts=False, TS=/data/ts_nrf2_up.dat}</t>
  </si>
  <si>
    <t>Predicted activity;Inactivity class Probability;Activity class Probability</t>
  </si>
  <si>
    <t>PERS_AIR_CORAL</t>
  </si>
  <si>
    <t>insilico.persistence_air_coral.ismPersistenceAirCoral</t>
  </si>
  <si>
    <t>Air Half-Life (IRFMN-CORAL)</t>
  </si>
  <si>
    <t>/data/airhl/ts_pers_air_coral.dat</t>
  </si>
  <si>
    <t>log(hours)</t>
  </si>
  <si>
    <t>Quantitative model for Air Half-Life .</t>
  </si>
  <si>
    <t>{QMRF=/data/airhl/qmrf_air_hl.xml, HasAlerts=False, Units=log(hours), TS=/data/airhl/ts_pers_air_coral.dat}</t>
  </si>
  <si>
    <t>Predicted Air Half-Life [log(hours)];Predicted Air Half-Life [hours];Experimental value [hours]</t>
  </si>
  <si>
    <t>PERS_WATER_QUANT</t>
  </si>
  <si>
    <t>insilico.persistence_quantative_water_irfmn.ismPersistenceWaterQuantitativeIrfmn</t>
  </si>
  <si>
    <t>Persistence (water) quantitative model (IRFMN)</t>
  </si>
  <si>
    <t>/data/ts_water_quantitative_irfmn.dat</t>
  </si>
  <si>
    <t>Persistence (water) quantitative model</t>
  </si>
  <si>
    <t>{HasAlerts=False, Units=log(days), TS=/data/ts_water_quantitative_irfmn.dat}</t>
  </si>
  <si>
    <t>Predicted HL [log(days)];Predicted HL [days];Experimental value [days]</t>
  </si>
  <si>
    <t>PERS_SED</t>
  </si>
  <si>
    <t>insilico.persistence_sediment_irfmn.ismPersistenceSedimentIrfmn</t>
  </si>
  <si>
    <t>Persistence (sediment) model (IRFMN)</t>
  </si>
  <si>
    <t>/data/ts_pers_sed_irfmn.dat</t>
  </si>
  <si>
    <t>Persistence (sediment) model</t>
  </si>
  <si>
    <t>{1.0=nP, 2.0=nP/P, 4.0=vP, 3.0=P/vP, -999.0=Non Predicted}</t>
  </si>
  <si>
    <t>{HasAlerts=True, TS=/data/ts_pers_sed_irfmn.dat}</t>
  </si>
  <si>
    <t>Similarity index;Accuracy index;Concordance index;Structural alerts concordance;ACF index</t>
  </si>
  <si>
    <t>Predicted persistence in sediment;Molecules used for prediction</t>
  </si>
  <si>
    <t>PERS_SED_QUANT</t>
  </si>
  <si>
    <t>insilico.persistence_sediment_quantitative_irfmn.ismPersistenceSedimentQuantitativeIrfmn</t>
  </si>
  <si>
    <t>Persistence (sediment) quantitative model (IRFMN)</t>
  </si>
  <si>
    <t>/data/ts_sediment_quantitative_irfmn.dat</t>
  </si>
  <si>
    <t>Persistence (sediment) quantitative model</t>
  </si>
  <si>
    <t>{HasAlerts=False, Units=log(days), TS=/data/ts_sediment_quantitative_irfmn.dat}</t>
  </si>
  <si>
    <t>PERS_SOIL</t>
  </si>
  <si>
    <t>insilico.persistence_soil_irfmn.ismPersistenceSoilIrfmn</t>
  </si>
  <si>
    <t>Persistence (soil) model (IRFMN)</t>
  </si>
  <si>
    <t>/data/ts_pers_soil_irfmn.dat</t>
  </si>
  <si>
    <t>Persistence (soil) model</t>
  </si>
  <si>
    <t>{HasAlerts=True, TS=/data/ts_pers_soil_irfmn.dat}</t>
  </si>
  <si>
    <t>Predicted persistence in soil;Molecules used for prediction</t>
  </si>
  <si>
    <t>PERS_SOIL_QUANT</t>
  </si>
  <si>
    <t>insilico.persistence_soil_quantitative_irfmn.ismPersistenceSoilQuantitativeIrfmn</t>
  </si>
  <si>
    <t>Persistence (soil) quantitative model (IRFMN)</t>
  </si>
  <si>
    <t>/data/ts_soil_quantitative_irfmn.dat</t>
  </si>
  <si>
    <t>Persistence (soil) quantitative model</t>
  </si>
  <si>
    <t>{HasAlerts=False, Units=log(days), TS=/data/ts_soil_quantitative_irfmn.dat}</t>
  </si>
  <si>
    <t>PERS_WAT</t>
  </si>
  <si>
    <t>insilico.persistence_water_irfmn.ismPersistenceWaterIrfmn</t>
  </si>
  <si>
    <t>Persistence (water) model (IRFMN)</t>
  </si>
  <si>
    <t>/data/ts_pers_water_irfmn.dat</t>
  </si>
  <si>
    <t>Persistence (water) model</t>
  </si>
  <si>
    <t>{HasAlerts=True, TS=/data/ts_pers_water_irfmn.dat}</t>
  </si>
  <si>
    <t>Predicted persistence in water;Molecules used for prediction</t>
  </si>
  <si>
    <t>PGP_NIC</t>
  </si>
  <si>
    <t>insilico.pgp_nic.ismPgpNic</t>
  </si>
  <si>
    <t>P-Glycoprotein activity model (NIC)</t>
  </si>
  <si>
    <t>/data/ts_pgp_nic.dat</t>
  </si>
  <si>
    <t>Classification model for P-Glycoprotein inhibition / substrate activity</t>
  </si>
  <si>
    <t>{0.0=Inhibitor, 1.0=Substrate, 2.0=Non Active, -1.0=Not predicted}</t>
  </si>
  <si>
    <t>{HasAlerts=False, TS=/data/ts_pgp_nic.dat}</t>
  </si>
  <si>
    <t>Predicted P-gp class;Probability for Inhibitor class;Probability for Substrate class;Probability for Non Active class;Euclidean Distance from the central neuron</t>
  </si>
  <si>
    <t>HEPA_PPARAUP</t>
  </si>
  <si>
    <t>insilico.ppara_up.ismPPARAUp</t>
  </si>
  <si>
    <t>Hepatic Steatosis MIE assay for PPARa up (TOXCAST)</t>
  </si>
  <si>
    <t>/data/ts_ppara_up.dat</t>
  </si>
  <si>
    <t>Assays of MIE for hepatic steatosis with target PPARa up activity classification prediction (TOXCAST)</t>
  </si>
  <si>
    <t>{HasAlerts=False, TS=/data/ts_ppara_up.dat}</t>
  </si>
  <si>
    <t>HEPA_PPARGUP</t>
  </si>
  <si>
    <t>insilico.pparg_up.ismPPARGup</t>
  </si>
  <si>
    <t>Hepatic Steatosis MIE assay for PPARg up (TOXCAST)</t>
  </si>
  <si>
    <t>/data/ts_pparg_up.dat</t>
  </si>
  <si>
    <t>Assays of MIE for hepatic steatosis with target PPARg up activity classification prediction (TOXCAST)</t>
  </si>
  <si>
    <t>{HasAlerts=False, TS=/data/ts_pparg_up.dat}</t>
  </si>
  <si>
    <t>PPB_CORAL</t>
  </si>
  <si>
    <t>insilico.ppb_coral.ismPPBCoral</t>
  </si>
  <si>
    <t>Plasma Protein Binding - sqFU (CORAL)</t>
  </si>
  <si>
    <t>/data/ts_ppb_coral.dat</t>
  </si>
  <si>
    <t>Plasma Protein Binding fraction unbound expressed as sqFU calculated with CORAL model</t>
  </si>
  <si>
    <t>{HasAlerts=False, Units=a-dimensional, TS=/data/ts_ppb_coral.dat}</t>
  </si>
  <si>
    <t>PPB [square root of fraction unbound]</t>
  </si>
  <si>
    <t>HEPA_PXRUP</t>
  </si>
  <si>
    <t>insilico.pxr_up.ismPxrUp</t>
  </si>
  <si>
    <t>Hepatic Steatosis MIE assay for PXR up (TOXCAST)</t>
  </si>
  <si>
    <t>/data/ts_pxrup.dat</t>
  </si>
  <si>
    <t>Assays of MIE for hepatic steatosis with target PXR up activity classification prediction (TOXCAST)</t>
  </si>
  <si>
    <t>{HasAlerts=False, TS=/data/ts_pxrup.dat}</t>
  </si>
  <si>
    <t>ESTROGEN_CERAPP</t>
  </si>
  <si>
    <t>insilico.rba_cerapp.ismEstrogenBindingCerapp</t>
  </si>
  <si>
    <t>Estrogen Receptor-mediated effect (IRFMN-CERAPP)</t>
  </si>
  <si>
    <t>/data/ts_estrogen_cerapp.dat</t>
  </si>
  <si>
    <t>.</t>
  </si>
  <si>
    <t>{-1.0=Not predicted, 0.0=NON-active, 1.0=Possible NON-active, 2.0=Active, 3.0=Possible active}</t>
  </si>
  <si>
    <t>{HasAlerts=True, TS=/data/ts_estrogen_cerapp.dat}</t>
  </si>
  <si>
    <t>Predicted ER-mediated effect;No. alerts for activity;No. alerts for possible activity;No. alerts for non-activity;No. alerts for possible non-activity</t>
  </si>
  <si>
    <t>ANDROGEN_COMPARA</t>
  </si>
  <si>
    <t>insilico.rba_compara_irfmn.ismAndrogenBindingComparaIRFMN</t>
  </si>
  <si>
    <t>Androgen Receptor-mediated effect (IRFMN-COMPARA)</t>
  </si>
  <si>
    <t>/data/rbacompara/ts_rba_comparairfmn.dat</t>
  </si>
  <si>
    <t>Classification model for Androgen Receptor-mediated effect (IRFMN/COMPARA).</t>
  </si>
  <si>
    <t>{-1.0=Not predicted, 0.0=NON-active, 1.0=Active}</t>
  </si>
  <si>
    <t>{QMRF=/data/rbacompara/qmrf_androgen_compara.xml, HasAlerts=True, TS=/data/rbacompara/ts_rba_comparairfmn.dat}</t>
  </si>
  <si>
    <t>Predicted AR binding activity;No. alerts for binding activity;No. alerts for non-binding activity</t>
  </si>
  <si>
    <t>RBA_IRFMN</t>
  </si>
  <si>
    <t>insilico.rba_irfmn.ismRbaIRFMN</t>
  </si>
  <si>
    <t>Estrogen Receptor Relative Binding Affinity model (IRFMN)</t>
  </si>
  <si>
    <t>/data/ts_rba_irfmn.dat</t>
  </si>
  <si>
    <t>Classification model for Estrogen Receptor Relative Binding Affinity (IRFMN)</t>
  </si>
  <si>
    <t>{HasAlerts=False, TS=/data/ts_rba_irfmn.dat}</t>
  </si>
  <si>
    <t>Predicted activity;Classification tree final node</t>
  </si>
  <si>
    <t>READYBIO_IRFMN</t>
  </si>
  <si>
    <t>insilico.readybio_irfmn.ismReadyBioIRFMN</t>
  </si>
  <si>
    <t>Ready Biodegradability model (IRFMN)</t>
  </si>
  <si>
    <t>/data/ts_readybio_irfmn.dat</t>
  </si>
  <si>
    <t>QSAR classification model for Ready Biodegradability</t>
  </si>
  <si>
    <t>{0.0=Readily Biodegradable, 1.0=NON Readily Biodegradable, 2.0=Possible NON Readily Biodegradable, -1.0=Not classifiable, 3.0=Possible Readily Biodegradable}</t>
  </si>
  <si>
    <t>{QMRF=http://qsardb.jrc.it/qmrf/search_catalogs.jsp?id=480, HasAlerts=True, TS=/data/ts_readybio_irfmn.dat}</t>
  </si>
  <si>
    <t>Predicted RB activity;No. alerts for non RB;No. alerts for possible non RB;No. alerts for RB;No. alerts for possible RB</t>
  </si>
  <si>
    <t>SKIN_CAESAR</t>
  </si>
  <si>
    <t>insilico.skin_caesar.ismSkinCaesar</t>
  </si>
  <si>
    <t>Skin Sensitization model (CAESAR)</t>
  </si>
  <si>
    <t>/data/ts_skin_caesar.dat</t>
  </si>
  <si>
    <t>QSAR classification model for Skin sensitization (from CAESAR project)</t>
  </si>
  <si>
    <t>{0.0=NON-Sensitizer, 1.0=Sensitizer, -1.0=Not Classifiable}</t>
  </si>
  <si>
    <t>{HasAlerts=False, TS=/data/ts_skin_caesar.dat}</t>
  </si>
  <si>
    <t>2.1.7</t>
  </si>
  <si>
    <t>Predicted skin sensitization activity;O(Active);O(Inactive)</t>
  </si>
  <si>
    <t>SKIN_NCSTOX</t>
  </si>
  <si>
    <t>insilico.skin_cosmetics.ismSkinCosmetics</t>
  </si>
  <si>
    <t>Skin Sensitization model (NCSTOX)</t>
  </si>
  <si>
    <t>/data/ts_skin_cosmetics.dat</t>
  </si>
  <si>
    <t>QSAR classification model (consensus) for Skin sensitization (from NCSTOX project)</t>
  </si>
  <si>
    <t>{HasAlerts=True, TS=/data/ts_skin_cosmetics.dat}</t>
  </si>
  <si>
    <t>Predicted skin sensitization activity;Predicted consensus reliability;Prediction from VEGA Caesar model;Prediction with ToxTree classes;Prediction with fragment-based model</t>
  </si>
  <si>
    <t>SKIN_IRFMN</t>
  </si>
  <si>
    <t>insilico.skin_irfmn.ismSkinIRFMN</t>
  </si>
  <si>
    <t>Skin Sensitization model (IRFMN-JRC)</t>
  </si>
  <si>
    <t>/data/ts_skin_irfmn.dat</t>
  </si>
  <si>
    <t>QSAR classification model for Skin sensitization</t>
  </si>
  <si>
    <t>{HasAlerts=False, TS=/data/ts_skin_irfmn.dat}</t>
  </si>
  <si>
    <t>Predicted skin sensitization activity</t>
  </si>
  <si>
    <t>SKIN_IRRITATION</t>
  </si>
  <si>
    <t>insilico.skin_irritation.ismSkinIrritation</t>
  </si>
  <si>
    <t>Skin Irritation (CONCERT/Kode)</t>
  </si>
  <si>
    <t>/data/ts_skin_irritation.dat</t>
  </si>
  <si>
    <t>QSAR classification model for skin irritation (CONERT/Kode)</t>
  </si>
  <si>
    <t>{HasAlerts=False, TS=/data/ts_skin_irritation.dat}</t>
  </si>
  <si>
    <t>Predicted Skin Irritation class</t>
  </si>
  <si>
    <t>SKIN_IRRITATION_CORAL</t>
  </si>
  <si>
    <t>insilico.skin_irritation_coral.ismSkinIrritationCoral</t>
  </si>
  <si>
    <t>Skin Irritation (CONCERT/Coral)</t>
  </si>
  <si>
    <t>/data/ts_skin_irritation_coral.dat</t>
  </si>
  <si>
    <t>QSAR classification model for Skin Irritation based on Coral</t>
  </si>
  <si>
    <t>{0.0=NON-Irritating, 1.0=Irritating, -1.0=Not Classifiable}</t>
  </si>
  <si>
    <t>{HasAlerts=False, TS=/data/ts_skin_irritation_coral.dat}</t>
  </si>
  <si>
    <t>Skin irritation activity</t>
  </si>
  <si>
    <t>SKIN_IRRITATION_SARPY</t>
  </si>
  <si>
    <t>insilico.skin_irritation_sarpy.ismSkinIrritationSarpy</t>
  </si>
  <si>
    <t>Skin Irritation model (CONCERT/SarPy)</t>
  </si>
  <si>
    <t>/data/ts_skin_irritation_sarpy.dat</t>
  </si>
  <si>
    <t>QSAR classification model for Skin Irritation</t>
  </si>
  <si>
    <t>{HasAlerts=True, TS=/data/ts_skin_irritation_sarpy.dat}</t>
  </si>
  <si>
    <t>Predicted Skin irritation activity;No. alerts for irritation activity;No. alerts for non-irritation activity</t>
  </si>
  <si>
    <t>SKINPERM_POTTS</t>
  </si>
  <si>
    <t>insilico.skin_permeation_potts.ismSkinPermeationPotts</t>
  </si>
  <si>
    <t>Skin Permeation (LogKp) model (Potts and Guy)</t>
  </si>
  <si>
    <t>/data/ts_skin_perm_potts.dat</t>
  </si>
  <si>
    <t>log(cm/h)</t>
  </si>
  <si>
    <t>Quantitative model for skin permeation (LogKp), Potts and guy formula.</t>
  </si>
  <si>
    <t>{HasAlerts=False, Units=log(cm/h), TS=/data/ts_skin_perm_potts.dat}</t>
  </si>
  <si>
    <t>Predicted skin permeation logKp [log(cm/h)];Molecular Weight;AlogP</t>
  </si>
  <si>
    <t>SKINPERM_TENBERGE</t>
  </si>
  <si>
    <t>insilico.skin_permeation_tenberge.ismSkinPermeationTenBerge</t>
  </si>
  <si>
    <t>Skin Permeation (LogKp) model (Ten Berge)</t>
  </si>
  <si>
    <t>/data/ts_skin_perm_tenberge.dat</t>
  </si>
  <si>
    <t>Quantitative model for skin permeation (LogKp), Ten Berge 3 formula.</t>
  </si>
  <si>
    <t>{HasAlerts=False, Units=log(cm/h), TS=/data/ts_skin_perm_tenberge.dat}</t>
  </si>
  <si>
    <t>SKIN_SENSITIZATION_CONCERT</t>
  </si>
  <si>
    <t>insilico.skin_sensitization_concert.ismSkinSensitizationConcert</t>
  </si>
  <si>
    <t>Skin Sensitization (CONCERT/Kode)</t>
  </si>
  <si>
    <t>/data/ts_skin_sensitization_concert.dat</t>
  </si>
  <si>
    <t>Qualitative model for Skin Sensitization.</t>
  </si>
  <si>
    <t>{1.0=Active, 0.0=Inactive, -1.0=No class found}</t>
  </si>
  <si>
    <t>{HasAlerts=True, TS=/data/ts_skin_sensitization_concert.dat}</t>
  </si>
  <si>
    <t>Predicted skin sensitization</t>
  </si>
  <si>
    <t>SKIN_SENSITIZATION_SARPY</t>
  </si>
  <si>
    <t>insilico.skin_sensitization_sarpy.ismSkinSensitizationSarpy</t>
  </si>
  <si>
    <t>Skin Sensitization (CONCERT/SarPy)</t>
  </si>
  <si>
    <t>/data/ts_skin_sensitization_sarpy.dat</t>
  </si>
  <si>
    <t>Qualitative model for skin sensitization (CONCERT/SarPy)</t>
  </si>
  <si>
    <t>{1.0=Active, 0.0=Inactive, -1.0=N.A.}</t>
  </si>
  <si>
    <t>{HasAlerts=True, TS=/data/ts_skin_sensitization_sarpy.dat}</t>
  </si>
  <si>
    <t>Predicted Skin sensitization activity;No. alerts sensitization activity;No. alerts for non-sensitization activity</t>
  </si>
  <si>
    <t>SKIN_SENSITIZATION_TOXTREE</t>
  </si>
  <si>
    <t>insilico.skin_sensitization_toxtree.ismSkinSensitizationToxTree</t>
  </si>
  <si>
    <t>Skin Sensitization model (TOXTREE)</t>
  </si>
  <si>
    <t>/data/ts_skin_sensitization.dat</t>
  </si>
  <si>
    <t>QSAR classification model for Skin sensitization (with TOXTREE rules)</t>
  </si>
  <si>
    <t>{0.0=SNAr-Nucleophilic Aromatic Substitution, 1.0=Schiff Base Formation, 2.0=Michael Acceptor, 4.0=SN2-Nucleophilic Aliphatic Substitution, -1.0=No class found, 3.0=Acyl Transfer Agents}</t>
  </si>
  <si>
    <t>{HasAlerts=True, TS=/data/ts_skin_sensitization.dat}</t>
  </si>
  <si>
    <t>Predicted class;Predicted class description</t>
  </si>
  <si>
    <t>SLUDGE_COMBASEEC50</t>
  </si>
  <si>
    <t>insilico.sludge_combaseEC50.ismSludgeCombaseEC50</t>
  </si>
  <si>
    <t>Sludge (EC50) Toxicity model (ProtoQSAR-Combase)</t>
  </si>
  <si>
    <t>/data/ts_sludge_combaseEC50.dat</t>
  </si>
  <si>
    <t>Quantitative model for toxicity (EC50) in sludge, specific for biocides</t>
  </si>
  <si>
    <t>{HasAlerts=False, Units=log(mg/L), TS=/data/ts_sludge_combaseEC50.dat}</t>
  </si>
  <si>
    <t>SLUDGE_COMBASECLASS</t>
  </si>
  <si>
    <t>insilico.sludge_combaseclass.ismSludgeCombaseClass</t>
  </si>
  <si>
    <t>Sludge Classification Toxicity model (ProtoQSAR-Combase)</t>
  </si>
  <si>
    <t>/data/ts_sludge_combaseClass.dat</t>
  </si>
  <si>
    <t>Classification model for toxicity in sludge, specific for biocides</t>
  </si>
  <si>
    <t>{HasAlerts=False, TS=/data/ts_sludge_combaseClass.dat}</t>
  </si>
  <si>
    <t>STERO_OBERON</t>
  </si>
  <si>
    <t>insilico.steroidogenesis.ismSteroidogenesis</t>
  </si>
  <si>
    <t>Steroidogenesis (OBERON)</t>
  </si>
  <si>
    <t>/data/ts_steroidogenesis.dat</t>
  </si>
  <si>
    <t>Qualitative KNN model for Steroidogenesis (IRFMN/OBERON)</t>
  </si>
  <si>
    <t>{HasAlerts=False, TS=/data/ts_steroidogenesis.dat}</t>
  </si>
  <si>
    <t>Predicted steroidogenesis activity</t>
  </si>
  <si>
    <t>TRALPHA_NRMEA</t>
  </si>
  <si>
    <t>insilico.thyroid_tralpha_nrmea.ismTRAlphaNRMEA</t>
  </si>
  <si>
    <t>Thyroid Receptor Alpha effect (NRMEA)</t>
  </si>
  <si>
    <t>/data/ts_thyroid_tralpha.dat</t>
  </si>
  <si>
    <t>Classification model for Thyroid Receptor Alpha effect ((NRMEA)).</t>
  </si>
  <si>
    <t>{HasAlerts=False, TS=/data/ts_thyroid_tralpha.dat}</t>
  </si>
  <si>
    <t>Predicted TR alpha class</t>
  </si>
  <si>
    <t>TRBETA_NRMEA</t>
  </si>
  <si>
    <t>insilico.thyroid_trbeta_nrmea.ismTRBetaNRMEA</t>
  </si>
  <si>
    <t>Thyroid Receptor Beta effect (NRMEA)</t>
  </si>
  <si>
    <t>/data/ts_thyroid_trbeta.dat</t>
  </si>
  <si>
    <t>Classification model for Thyroid Receptor Beta effect ((NRMEA)).</t>
  </si>
  <si>
    <t>{HasAlerts=False, TS=/data/ts_thyroid_trbeta.dat}</t>
  </si>
  <si>
    <t>Predicted TR beta class</t>
  </si>
  <si>
    <t>TISSUEBLOOD_INERIS</t>
  </si>
  <si>
    <t>insilico.tissueblood_ineris.ismTissueBloodIneris</t>
  </si>
  <si>
    <t>Adipose tissue - blood model (INERIS)</t>
  </si>
  <si>
    <t>/data/tissuebloodineris/ts_tissueblood_ineris.dat</t>
  </si>
  <si>
    <t>Log units</t>
  </si>
  <si>
    <t>Quantitative model for adipose tissue:blood partition coefficient on rat</t>
  </si>
  <si>
    <t>{QMRF=/data/tissuebloodineris/qmrf_adipose_blood.xml, HasAlerts=False, Units=Log units, TS=/data/tissuebloodineris/ts_tissueblood_ineris.dat}</t>
  </si>
  <si>
    <t>Predicted LogKab [log units]</t>
  </si>
  <si>
    <t>TOTALHL_QSARINS</t>
  </si>
  <si>
    <t>insilico.totalhl_qsarins.ismTotalHLQsarins</t>
  </si>
  <si>
    <t>Total body elimination half-life (QSARINS)</t>
  </si>
  <si>
    <t>/data/ts_totalhl_qsarins.dat</t>
  </si>
  <si>
    <t>Log(h)</t>
  </si>
  <si>
    <t>Quantitative model total body elimination half-life in human</t>
  </si>
  <si>
    <t>{HasAlerts=False, Units=Log(h), TS=/data/ts_totalhl_qsarins.dat}</t>
  </si>
  <si>
    <t>Predicted LogHLt [log units];Predicted total half-life [hours]</t>
  </si>
  <si>
    <t>TPO_OBERON</t>
  </si>
  <si>
    <t>insilico.tpo_oberon.ismTpoOberon</t>
  </si>
  <si>
    <t>Thyroperoxidase Inhibitory Activity (OBERON)</t>
  </si>
  <si>
    <t>/data/ts_tpo_oberon.dat</t>
  </si>
  <si>
    <t>Thyroperoxidase Inhibitory Activity (TPO) classification model based on a KNN approach, developed within the OBERON project</t>
  </si>
  <si>
    <t>{0.0=HSE, 1.0=INA, -1.0=Not predicted}</t>
  </si>
  <si>
    <t>{HasAlerts=False, TS=/data/ts_tpo_oberon.dat}</t>
  </si>
  <si>
    <t>Predicted TPO</t>
  </si>
  <si>
    <t>VAPOUR_PRESSURE</t>
  </si>
  <si>
    <t>insilico.vapour_pressure.ismVapourPressure</t>
  </si>
  <si>
    <t>Vapour Pressure (CONCERT/Kode)</t>
  </si>
  <si>
    <t>/data/ts_vapour_pressure.dat</t>
  </si>
  <si>
    <t>log10(atm)</t>
  </si>
  <si>
    <t>Quantitative model for vapour pressure in log10(atm)</t>
  </si>
  <si>
    <t>{HasAlerts=False, Units=log10(atm), TS=/data/ts_vapour_pressure.dat}</t>
  </si>
  <si>
    <t>Predicted Vapour Pressure [log10(atm)]</t>
  </si>
  <si>
    <t>VERHAAR_TOXTREE</t>
  </si>
  <si>
    <t>insilico.verhaar_toxtree.ismVerhaarToxtree</t>
  </si>
  <si>
    <t>Verhaar classification (TOXTREE)</t>
  </si>
  <si>
    <t>/data/ts_verhaar_toxtree.dat</t>
  </si>
  <si>
    <t>Verhaar classification from ToxTree 3.1.</t>
  </si>
  <si>
    <t>{HasAlerts=false, TS=/data/ts_verhaar_toxtree.dat}</t>
  </si>
  <si>
    <t>Predicted Verhaar class</t>
  </si>
  <si>
    <t>WS_IRFMN</t>
  </si>
  <si>
    <t>insilico.watersolubility.ismWaterSolubilityIRFMN</t>
  </si>
  <si>
    <t>Water solubility model (IRFMN)</t>
  </si>
  <si>
    <t>/data/ts_watersolubility_irfmn.dat</t>
  </si>
  <si>
    <t>Quantitative model for water solubility.</t>
  </si>
  <si>
    <t>{HasAlerts=False, Units=-log(mol/L), TS=/data/ts_watersolubility_irfmn.dat}</t>
  </si>
  <si>
    <t>Predicted water solubility [-log(mol/L)];Predicted water solubility [mg/L];Molecular Weight;Experimental value [mg/L]</t>
  </si>
  <si>
    <t>ZEBRAFISH_CORAL</t>
  </si>
  <si>
    <t>insilico.zebrafish_coral.ismZebrafishCoral</t>
  </si>
  <si>
    <t>Zebrafish embryo AC50 (IRFMN-CORAL)</t>
  </si>
  <si>
    <t>/data/ts_zebrafish_coral.dat</t>
  </si>
  <si>
    <t>log(umol/l)</t>
  </si>
  <si>
    <t>Quantitative model for Zebrafish embryo AC50 (half-maximal activity concentration).</t>
  </si>
  <si>
    <t>{HasAlerts=False, Units=log(umol/l), TS=/data/ts_zebrafish_coral.dat}</t>
  </si>
  <si>
    <t>Predicted AC50 [log(umol/l)];Predicted AC50 [ug/l];Molecular Weight;Experimental value [ug/l]</t>
  </si>
  <si>
    <t>SSbD</t>
  </si>
  <si>
    <t>PMT</t>
  </si>
  <si>
    <t>EC_FISHTOX_SECTION</t>
  </si>
  <si>
    <t>Column1</t>
  </si>
  <si>
    <t>EC_DAPHNIATOX_SECTION</t>
  </si>
  <si>
    <t>EC_CHRONDAPHNIATOX_SECTION</t>
  </si>
  <si>
    <t>EC_ALGAETOX_SECTION</t>
  </si>
  <si>
    <t>EC_CHRONFISHTOX_SECTION</t>
  </si>
  <si>
    <t>TO_BIODEG_WATER_SCREEN_SECTION</t>
  </si>
  <si>
    <t>EN_BIOACCUMULATION_SECTION</t>
  </si>
  <si>
    <t>EN_HENRY_LAW_SECTION</t>
  </si>
  <si>
    <t>TO_HYDROLYSIS_SECTION</t>
  </si>
  <si>
    <t>TO_BIODEG_WATER_SIM_SECTION</t>
  </si>
  <si>
    <t>EN_ADSORPTION_SECTION</t>
  </si>
  <si>
    <t>TO_PHOTOTRANS_AIR_SECTION</t>
  </si>
  <si>
    <t>HUMAN_PHARMACOKINETICS_SECTION</t>
  </si>
  <si>
    <t>EC_SEDIMENTDWELLINGTOX_SECTION</t>
  </si>
  <si>
    <t>EN_STABILITY_IN_SOIL_SECTION</t>
  </si>
  <si>
    <t>4.1.</t>
  </si>
  <si>
    <t>Appearance GI_GENERAL_INFORM</t>
  </si>
  <si>
    <t>4.2.</t>
  </si>
  <si>
    <t>Melting point / freezing point PC_MELTING</t>
  </si>
  <si>
    <t>4.3.</t>
  </si>
  <si>
    <t>Boiling point PC_BOILING</t>
  </si>
  <si>
    <t>4.5.</t>
  </si>
  <si>
    <t>Particle size distribution (Granulometry) PC_GRANULOMETRY</t>
  </si>
  <si>
    <t>4.6.</t>
  </si>
  <si>
    <t>Vapour pressure PC_VAPOUR</t>
  </si>
  <si>
    <t>4.7.</t>
  </si>
  <si>
    <t>Partition coefficient PC_PARTITION</t>
  </si>
  <si>
    <t>4.8.</t>
  </si>
  <si>
    <t>Water solubility PC_WATER_SOL</t>
  </si>
  <si>
    <t>4.9.</t>
  </si>
  <si>
    <t>Solubility in organic solvents PC_SOL_ORGANIC</t>
  </si>
  <si>
    <t>4.20.</t>
  </si>
  <si>
    <t>pH PC_NON_SATURATED_PH</t>
  </si>
  <si>
    <t>4.21.</t>
  </si>
  <si>
    <t>Dissociation constant PC_DISSOCIATION</t>
  </si>
  <si>
    <t>4.24.</t>
  </si>
  <si>
    <t>Agglomeration/aggregation AGGLOMERATION_AGGREGATION</t>
  </si>
  <si>
    <t>4.25.</t>
  </si>
  <si>
    <t>Crystalline phase CRYSTALLINE_PHASE</t>
  </si>
  <si>
    <t>4.26.</t>
  </si>
  <si>
    <t>Crystallite and grain phase CRYSTALLITE_AND_GRAIN_SIZE</t>
  </si>
  <si>
    <t>4.27.</t>
  </si>
  <si>
    <t>Aspect ratio/shape ASPECT_RATIO_SHAPE</t>
  </si>
  <si>
    <t>4.28.</t>
  </si>
  <si>
    <t>Specific surface area SPECIFIC_SURFACE_AREA</t>
  </si>
  <si>
    <t>4.29.</t>
  </si>
  <si>
    <t>Zeta potential ZETA_POTENTIAL</t>
  </si>
  <si>
    <t>4.30.</t>
  </si>
  <si>
    <t>Surface chemistry SURFACE_CHEMISTRY</t>
  </si>
  <si>
    <t>4.31.</t>
  </si>
  <si>
    <t>Dustiness DUSTINESS</t>
  </si>
  <si>
    <t>4.32.</t>
  </si>
  <si>
    <t>Porosity POROSITY</t>
  </si>
  <si>
    <t>4.33.</t>
  </si>
  <si>
    <t>Nanomaterial pour density POUR_DENSITY</t>
  </si>
  <si>
    <t>4.34.</t>
  </si>
  <si>
    <t>Nanomaterial photocatalytic activity PHOTOCATALYTIC_ACTIVITY</t>
  </si>
  <si>
    <t>4.36.</t>
  </si>
  <si>
    <t>Nanomaterial catalytic activity CATALYTIC_ACTIVITY</t>
  </si>
  <si>
    <t>5.1.1.</t>
  </si>
  <si>
    <t>Phototransformation in Air TO_PHOTOTRANS_AIR</t>
  </si>
  <si>
    <t>5.1.2.</t>
  </si>
  <si>
    <t>Hydrolysis TO_HYDROLYSIS</t>
  </si>
  <si>
    <t>5.2.1.</t>
  </si>
  <si>
    <t>Biodegradation in water - screening tests TO_BIODEG_WATER_SCREEN</t>
  </si>
  <si>
    <t>5.2.2.</t>
  </si>
  <si>
    <t>Biodegradation in water and sediment: simulation tests TO_BIODEG_WATER_SIM</t>
  </si>
  <si>
    <t>5.2.3.</t>
  </si>
  <si>
    <t>Biodegradation in Soil EN_STABILITY_IN_SOIL</t>
  </si>
  <si>
    <t>5.3.1.</t>
  </si>
  <si>
    <t>Bioaccumulation: aquatic / sediment EN_BIOACCUMULATION</t>
  </si>
  <si>
    <t>5.3.2.</t>
  </si>
  <si>
    <t>Bioaccumulation: terrestrial EN_BIOACCU_TERR</t>
  </si>
  <si>
    <t>5.4.1.</t>
  </si>
  <si>
    <t>Adsorption / Desorption EN_ADSORPTION</t>
  </si>
  <si>
    <t>5.4.2.</t>
  </si>
  <si>
    <t>Henry's Law constant EN_HENRY_LAW</t>
  </si>
  <si>
    <t>6.1.1.</t>
  </si>
  <si>
    <t>Short-term toxicity to fish EC_FISHTOX</t>
  </si>
  <si>
    <t>6.1.2.</t>
  </si>
  <si>
    <t>Long-term toxicity to fish EC_CHRONFISHTOX</t>
  </si>
  <si>
    <t>6.1.3.</t>
  </si>
  <si>
    <t>Short-term toxicity to aquatic inverterbrates EC_DAPHNIATOX</t>
  </si>
  <si>
    <t>6.1.4.</t>
  </si>
  <si>
    <t>Long-term toxicity to aquatic inverterbrates EC_CHRONDAPHNIATOX</t>
  </si>
  <si>
    <t>6.1.5.</t>
  </si>
  <si>
    <t>Toxicity to aquatic algae and cyanobacteria EC_ALGAETOX</t>
  </si>
  <si>
    <t>6.1.7.</t>
  </si>
  <si>
    <t>Toxicity to microorganisms EC_BACTOX</t>
  </si>
  <si>
    <t>6.2.</t>
  </si>
  <si>
    <t>Sediment toxicity EC_SEDIMENTDWELLINGTOX</t>
  </si>
  <si>
    <t>6.3.1.</t>
  </si>
  <si>
    <t>Toxicity to soil macroorganisms EC_SOILDWELLINGTOX</t>
  </si>
  <si>
    <t>6.3.2.</t>
  </si>
  <si>
    <t>Toxicity to terrestrial arthropods EC_HONEYBEESTOX</t>
  </si>
  <si>
    <t>6.3.3.</t>
  </si>
  <si>
    <t>Toxicity to terrestrial plants EC_PLANTTOX</t>
  </si>
  <si>
    <t>6.3.4.</t>
  </si>
  <si>
    <t>Toxicity to soil microorganisms EC_SOIL_MICRO_TOX</t>
  </si>
  <si>
    <t>7.2.1.</t>
  </si>
  <si>
    <t>Acute toxicity - oral TO_ACUTE_ORAL</t>
  </si>
  <si>
    <t>7.2.2.</t>
  </si>
  <si>
    <t>Acute toxicity - inhalation TO_ACUTE_INHAL</t>
  </si>
  <si>
    <t>7.2.3.</t>
  </si>
  <si>
    <t>Acute toxicity - dermal TO_ACUTE_DERMAL</t>
  </si>
  <si>
    <t>7.3.1.</t>
  </si>
  <si>
    <t>Skin irritation / Corrosion TO_SKIN_IRRITATION</t>
  </si>
  <si>
    <t>7.3.2.</t>
  </si>
  <si>
    <t>Eye irritation TO_EYE_IRRITATION</t>
  </si>
  <si>
    <t>7.4.1.</t>
  </si>
  <si>
    <t>Skin sensitisation TO_SENSITIZATION</t>
  </si>
  <si>
    <t>7.5.1.</t>
  </si>
  <si>
    <t>Repeated dose toxicity - oral TO_REPEATED_ORAL</t>
  </si>
  <si>
    <t>7.5.2.</t>
  </si>
  <si>
    <t>Repeated dose toxicity - inhalation TO_REPEATED_INHAL</t>
  </si>
  <si>
    <t>7.5.3.</t>
  </si>
  <si>
    <t>Repeated dose toxicity - dermal TO_REPEATED_DERMAL</t>
  </si>
  <si>
    <t>7.6.1.</t>
  </si>
  <si>
    <t>Genetic toxicity in vitro TO_GENETIC_IN_VITRO</t>
  </si>
  <si>
    <t>Genetic toxicity in vivo TO_GENETIC_IN_VIVO</t>
  </si>
  <si>
    <t>7.7.</t>
  </si>
  <si>
    <t>Carcinogenicity TO_CARCINOGENICITY</t>
  </si>
  <si>
    <t>7.8.1.</t>
  </si>
  <si>
    <t>Toxicity to reproduction TO_REPRODUCTION</t>
  </si>
  <si>
    <t>7.8.2.</t>
  </si>
  <si>
    <t>Developmental toxicity / teratogenicity TO_DEVELOPMENTAL</t>
  </si>
  <si>
    <t>No</t>
  </si>
  <si>
    <t>Endpoints</t>
  </si>
  <si>
    <t>EC_SOIL_MICRO_TOX</t>
  </si>
  <si>
    <t>EC_HONEYBEESTOX</t>
  </si>
  <si>
    <t>TO_CARCINOGENICITY</t>
  </si>
  <si>
    <t>TO_DEVELOPMENTAL</t>
  </si>
  <si>
    <t>TO_REPRODUCTION</t>
  </si>
  <si>
    <t>TO_GENETIC_IN_VITRO</t>
  </si>
  <si>
    <t>EC_SOILDWELLINGTOX</t>
  </si>
  <si>
    <t>Earthworms fall under soil macroorganisms, so toxicity models for them map to this endpoint.</t>
  </si>
  <si>
    <t>TO_SKIN_IRRITATION_SECTION</t>
  </si>
  <si>
    <t>TO_SENSITIZATION_SECTION</t>
  </si>
  <si>
    <t>LogKp (skin permeability coefficient)</t>
  </si>
  <si>
    <t>TO_EYE_IRRITATION_SECTION</t>
  </si>
  <si>
    <t>TO_GENETIC_IN_VIVO</t>
  </si>
  <si>
    <t>PC_MELTING_SECTION</t>
  </si>
  <si>
    <t>PC_VAPOUR_SECTION</t>
  </si>
  <si>
    <t>PC_WATER_SOL_SECTION</t>
  </si>
  <si>
    <t>RECEPTOR_BINDING</t>
  </si>
  <si>
    <t>TO_ACUTE_ORAL_SECTION</t>
  </si>
  <si>
    <t>TO_ACUTE_DERMAL</t>
  </si>
  <si>
    <t>TO_REPEATED_ORAL</t>
  </si>
  <si>
    <t>STOT-SE</t>
  </si>
  <si>
    <t>STOT-RE</t>
  </si>
  <si>
    <t>Carcinogenicity</t>
  </si>
  <si>
    <t>Mutagenicity</t>
  </si>
  <si>
    <t>6.3.2. TOXICITY TO TERRESTRIAL ARTHROPODS</t>
  </si>
  <si>
    <t>P-CHEM</t>
  </si>
  <si>
    <t>Toxicity</t>
  </si>
  <si>
    <t>EC_FISHTOX</t>
  </si>
  <si>
    <t>Reproductive_toxicity</t>
  </si>
  <si>
    <t>Skin_sensitization</t>
  </si>
  <si>
    <t>Acute_aquatic_toxicity</t>
  </si>
  <si>
    <t>Chronic_aquatic_toxicity</t>
  </si>
  <si>
    <t>Eye_damage_irritation</t>
  </si>
  <si>
    <t>PBT</t>
  </si>
  <si>
    <t>Skin_corrosion_irritation</t>
  </si>
  <si>
    <t>Endocrine_disruption</t>
  </si>
  <si>
    <t>ENDPOINT_CATEGORY</t>
  </si>
  <si>
    <t>{0.0=Strong toxicity (lower than 1 µg/bee), 1.0=Moderate toxicity (between 1 and 100 µg/bee), 2.0=Low toxicity (over 100 µg/bee), -999.0=Non Predicted}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</si>
</sst>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49" fontId="0" fillId="0" borderId="10" xfId="0" applyNumberFormat="1" applyBorder="1" applyAlignment="1">
      <alignment horizontal="left"/>
    </xf>
    <xf numFmtId="49" fontId="18" fillId="0" borderId="0" xfId="0" applyNumberFormat="1" applyFont="1" applyBorder="1" applyAlignment="1">
      <alignment horizontal="left" vertical="top"/>
    </xf>
    <xf numFmtId="49" fontId="18" fillId="0" borderId="10" xfId="0" applyNumberFormat="1" applyFont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30" formatCode="@"/>
      <alignment horizontal="left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N114" totalsRowShown="0">
  <autoFilter ref="A1:N114"/>
  <sortState ref="A34:N50">
    <sortCondition ref="M1:M114"/>
  </sortState>
  <tableColumns count="14">
    <tableColumn id="1" name="Key"/>
    <tableColumn id="2" name="ClassName"/>
    <tableColumn id="3" name="Name"/>
    <tableColumn id="4" name="TrainingSetURL"/>
    <tableColumn id="5" name="Units"/>
    <tableColumn id="6" name="Summary"/>
    <tableColumn id="7" name="ClassValues"/>
    <tableColumn id="8" name="Vega"/>
    <tableColumn id="9" name="Version"/>
    <tableColumn id="10" name="ADItemsName"/>
    <tableColumn id="11" name="ResultsName"/>
    <tableColumn id="12" name="SSbD" dataDxfId="0"/>
    <tableColumn id="13" name="ENDPOINT_CATEGORY"/>
    <tableColumn id="14" name="Column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4"/>
  <sheetViews>
    <sheetView tabSelected="1" topLeftCell="A89" workbookViewId="0">
      <pane xSplit="1" topLeftCell="B1" activePane="topRight" state="frozen"/>
      <selection pane="topRight" activeCell="F94" sqref="F94"/>
    </sheetView>
  </sheetViews>
  <sheetFormatPr defaultRowHeight="14.4" x14ac:dyDescent="0.3"/>
  <cols>
    <col min="1" max="1" width="20.5546875" customWidth="1"/>
    <col min="2" max="2" width="24.21875" customWidth="1"/>
    <col min="3" max="3" width="27.109375" customWidth="1"/>
    <col min="4" max="4" width="18" customWidth="1"/>
    <col min="6" max="6" width="59.88671875" customWidth="1"/>
    <col min="7" max="7" width="12.33203125" customWidth="1"/>
    <col min="9" max="9" width="9" customWidth="1"/>
    <col min="10" max="10" width="14.6640625" customWidth="1"/>
    <col min="11" max="11" width="66.77734375" customWidth="1"/>
    <col min="12" max="12" width="25.77734375" customWidth="1"/>
    <col min="13" max="13" width="35.33203125" customWidth="1"/>
    <col min="14" max="14" width="13.2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865</v>
      </c>
      <c r="M1" t="s">
        <v>1032</v>
      </c>
      <c r="N1" t="s">
        <v>868</v>
      </c>
    </row>
    <row r="2" spans="1:14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s="1" t="s">
        <v>1026</v>
      </c>
      <c r="M2" t="s">
        <v>871</v>
      </c>
    </row>
    <row r="3" spans="1:14" x14ac:dyDescent="0.3">
      <c r="A3" t="s">
        <v>22</v>
      </c>
      <c r="B3" t="s">
        <v>23</v>
      </c>
      <c r="C3" t="s">
        <v>24</v>
      </c>
      <c r="D3" t="s">
        <v>25</v>
      </c>
      <c r="F3" t="s">
        <v>26</v>
      </c>
      <c r="G3" t="s">
        <v>27</v>
      </c>
      <c r="H3" t="s">
        <v>28</v>
      </c>
      <c r="I3" t="s">
        <v>19</v>
      </c>
      <c r="J3" t="s">
        <v>29</v>
      </c>
      <c r="K3" t="s">
        <v>30</v>
      </c>
      <c r="L3" s="1" t="s">
        <v>1026</v>
      </c>
      <c r="M3" t="s">
        <v>871</v>
      </c>
    </row>
    <row r="4" spans="1:14" x14ac:dyDescent="0.3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17</v>
      </c>
      <c r="H4" t="s">
        <v>37</v>
      </c>
      <c r="I4" t="s">
        <v>19</v>
      </c>
      <c r="J4" t="s">
        <v>20</v>
      </c>
      <c r="K4" t="s">
        <v>38</v>
      </c>
      <c r="L4" s="1" t="s">
        <v>1026</v>
      </c>
      <c r="M4" t="s">
        <v>871</v>
      </c>
    </row>
    <row r="5" spans="1:14" x14ac:dyDescent="0.3">
      <c r="A5" t="s">
        <v>39</v>
      </c>
      <c r="B5" t="s">
        <v>40</v>
      </c>
      <c r="C5" t="s">
        <v>41</v>
      </c>
      <c r="D5" t="s">
        <v>42</v>
      </c>
      <c r="E5" t="s">
        <v>35</v>
      </c>
      <c r="F5" t="s">
        <v>43</v>
      </c>
      <c r="G5" t="s">
        <v>17</v>
      </c>
      <c r="H5" t="s">
        <v>44</v>
      </c>
      <c r="I5" t="s">
        <v>19</v>
      </c>
      <c r="J5" t="s">
        <v>20</v>
      </c>
      <c r="K5" t="s">
        <v>45</v>
      </c>
      <c r="L5" s="1" t="s">
        <v>1027</v>
      </c>
      <c r="M5" t="s">
        <v>871</v>
      </c>
    </row>
    <row r="6" spans="1:14" x14ac:dyDescent="0.3">
      <c r="A6" t="s">
        <v>196</v>
      </c>
      <c r="B6" t="s">
        <v>197</v>
      </c>
      <c r="C6" t="s">
        <v>198</v>
      </c>
      <c r="D6" t="s">
        <v>199</v>
      </c>
      <c r="E6" t="s">
        <v>200</v>
      </c>
      <c r="F6" t="s">
        <v>201</v>
      </c>
      <c r="G6" t="s">
        <v>17</v>
      </c>
      <c r="H6" t="s">
        <v>202</v>
      </c>
      <c r="I6" t="s">
        <v>121</v>
      </c>
      <c r="J6" t="s">
        <v>20</v>
      </c>
      <c r="K6" t="s">
        <v>203</v>
      </c>
      <c r="L6" s="1" t="s">
        <v>1026</v>
      </c>
      <c r="M6" t="s">
        <v>869</v>
      </c>
    </row>
    <row r="7" spans="1:14" x14ac:dyDescent="0.3">
      <c r="A7" t="s">
        <v>204</v>
      </c>
      <c r="B7" t="s">
        <v>205</v>
      </c>
      <c r="C7" t="s">
        <v>206</v>
      </c>
      <c r="D7" t="s">
        <v>207</v>
      </c>
      <c r="E7" t="e">
        <f>-LOG(mol/l)</f>
        <v>#NAME?</v>
      </c>
      <c r="F7" t="s">
        <v>208</v>
      </c>
      <c r="G7" t="s">
        <v>17</v>
      </c>
      <c r="H7" t="s">
        <v>209</v>
      </c>
      <c r="I7" t="s">
        <v>210</v>
      </c>
      <c r="J7" t="s">
        <v>20</v>
      </c>
      <c r="K7" t="s">
        <v>211</v>
      </c>
      <c r="L7" s="1" t="s">
        <v>1026</v>
      </c>
      <c r="M7" t="s">
        <v>869</v>
      </c>
    </row>
    <row r="8" spans="1:14" x14ac:dyDescent="0.3">
      <c r="A8" t="s">
        <v>212</v>
      </c>
      <c r="B8" t="s">
        <v>213</v>
      </c>
      <c r="C8" t="s">
        <v>214</v>
      </c>
      <c r="D8" t="s">
        <v>215</v>
      </c>
      <c r="E8" t="s">
        <v>200</v>
      </c>
      <c r="F8" t="s">
        <v>216</v>
      </c>
      <c r="G8" t="s">
        <v>17</v>
      </c>
      <c r="H8" t="s">
        <v>217</v>
      </c>
      <c r="I8" t="s">
        <v>121</v>
      </c>
      <c r="J8" t="s">
        <v>20</v>
      </c>
      <c r="K8" t="s">
        <v>203</v>
      </c>
      <c r="L8" s="1" t="s">
        <v>1026</v>
      </c>
      <c r="M8" t="s">
        <v>869</v>
      </c>
    </row>
    <row r="9" spans="1:14" x14ac:dyDescent="0.3">
      <c r="A9" t="s">
        <v>218</v>
      </c>
      <c r="B9" t="s">
        <v>219</v>
      </c>
      <c r="C9" t="s">
        <v>220</v>
      </c>
      <c r="D9" t="s">
        <v>221</v>
      </c>
      <c r="E9" t="e">
        <f>-LOG(mol/l)</f>
        <v>#NAME?</v>
      </c>
      <c r="F9" t="s">
        <v>222</v>
      </c>
      <c r="G9" t="s">
        <v>17</v>
      </c>
      <c r="H9" t="s">
        <v>223</v>
      </c>
      <c r="I9" t="s">
        <v>224</v>
      </c>
      <c r="J9" t="s">
        <v>20</v>
      </c>
      <c r="K9" t="s">
        <v>211</v>
      </c>
      <c r="L9" s="1" t="s">
        <v>1026</v>
      </c>
      <c r="M9" t="s">
        <v>869</v>
      </c>
    </row>
    <row r="10" spans="1:14" x14ac:dyDescent="0.3">
      <c r="A10" t="s">
        <v>225</v>
      </c>
      <c r="B10" t="s">
        <v>226</v>
      </c>
      <c r="C10" t="s">
        <v>227</v>
      </c>
      <c r="D10" t="s">
        <v>228</v>
      </c>
      <c r="E10" t="s">
        <v>200</v>
      </c>
      <c r="F10" t="s">
        <v>229</v>
      </c>
      <c r="G10" t="s">
        <v>17</v>
      </c>
      <c r="H10" t="s">
        <v>230</v>
      </c>
      <c r="I10" t="s">
        <v>112</v>
      </c>
      <c r="J10" t="s">
        <v>20</v>
      </c>
      <c r="K10" t="s">
        <v>231</v>
      </c>
      <c r="L10" s="1" t="s">
        <v>1027</v>
      </c>
      <c r="M10" t="s">
        <v>870</v>
      </c>
    </row>
    <row r="11" spans="1:14" x14ac:dyDescent="0.3">
      <c r="A11" t="s">
        <v>288</v>
      </c>
      <c r="B11" t="s">
        <v>289</v>
      </c>
      <c r="C11" t="s">
        <v>290</v>
      </c>
      <c r="D11" t="s">
        <v>291</v>
      </c>
      <c r="E11" t="e">
        <f>-LOG(mol/l)</f>
        <v>#NAME?</v>
      </c>
      <c r="F11" t="s">
        <v>292</v>
      </c>
      <c r="G11" t="s">
        <v>17</v>
      </c>
      <c r="H11" t="s">
        <v>293</v>
      </c>
      <c r="I11" t="s">
        <v>294</v>
      </c>
      <c r="J11" t="s">
        <v>20</v>
      </c>
      <c r="K11" t="s">
        <v>211</v>
      </c>
      <c r="L11" s="1" t="s">
        <v>1027</v>
      </c>
      <c r="M11" t="s">
        <v>867</v>
      </c>
    </row>
    <row r="12" spans="1:14" x14ac:dyDescent="0.3">
      <c r="A12" t="s">
        <v>295</v>
      </c>
      <c r="B12" t="s">
        <v>296</v>
      </c>
      <c r="C12" t="s">
        <v>297</v>
      </c>
      <c r="D12" t="s">
        <v>298</v>
      </c>
      <c r="E12" t="s">
        <v>299</v>
      </c>
      <c r="F12" t="s">
        <v>300</v>
      </c>
      <c r="G12" t="s">
        <v>17</v>
      </c>
      <c r="H12" t="s">
        <v>301</v>
      </c>
      <c r="I12" t="s">
        <v>248</v>
      </c>
      <c r="J12" t="s">
        <v>87</v>
      </c>
      <c r="K12" t="s">
        <v>302</v>
      </c>
      <c r="L12" s="1" t="s">
        <v>1027</v>
      </c>
      <c r="M12" t="s">
        <v>867</v>
      </c>
    </row>
    <row r="13" spans="1:14" x14ac:dyDescent="0.3">
      <c r="A13" t="s">
        <v>303</v>
      </c>
      <c r="B13" t="s">
        <v>304</v>
      </c>
      <c r="C13" t="s">
        <v>305</v>
      </c>
      <c r="D13" t="s">
        <v>306</v>
      </c>
      <c r="E13" t="e">
        <f>-LOG(mmol/l)</f>
        <v>#NAME?</v>
      </c>
      <c r="F13" t="s">
        <v>307</v>
      </c>
      <c r="G13" t="s">
        <v>17</v>
      </c>
      <c r="H13" t="s">
        <v>308</v>
      </c>
      <c r="I13" t="s">
        <v>112</v>
      </c>
      <c r="J13" t="s">
        <v>20</v>
      </c>
      <c r="K13" t="s">
        <v>309</v>
      </c>
      <c r="L13" s="1" t="s">
        <v>1027</v>
      </c>
      <c r="M13" t="s">
        <v>867</v>
      </c>
    </row>
    <row r="14" spans="1:14" x14ac:dyDescent="0.3">
      <c r="A14" t="s">
        <v>310</v>
      </c>
      <c r="B14" t="s">
        <v>311</v>
      </c>
      <c r="C14" t="s">
        <v>312</v>
      </c>
      <c r="D14" t="s">
        <v>313</v>
      </c>
      <c r="F14" t="s">
        <v>314</v>
      </c>
      <c r="G14" t="s">
        <v>315</v>
      </c>
      <c r="H14" t="s">
        <v>316</v>
      </c>
      <c r="I14" t="s">
        <v>121</v>
      </c>
      <c r="J14" t="s">
        <v>61</v>
      </c>
      <c r="K14" t="s">
        <v>317</v>
      </c>
      <c r="L14" s="1" t="s">
        <v>1027</v>
      </c>
      <c r="M14" t="s">
        <v>867</v>
      </c>
    </row>
    <row r="15" spans="1:14" x14ac:dyDescent="0.3">
      <c r="A15" t="s">
        <v>318</v>
      </c>
      <c r="B15" t="s">
        <v>319</v>
      </c>
      <c r="C15" t="s">
        <v>320</v>
      </c>
      <c r="D15" t="s">
        <v>321</v>
      </c>
      <c r="E15" t="e">
        <f>-LOG(mg/l)</f>
        <v>#NAME?</v>
      </c>
      <c r="F15" t="s">
        <v>322</v>
      </c>
      <c r="G15" t="s">
        <v>17</v>
      </c>
      <c r="H15" t="s">
        <v>323</v>
      </c>
      <c r="I15" t="s">
        <v>19</v>
      </c>
      <c r="J15" t="s">
        <v>87</v>
      </c>
      <c r="K15" t="s">
        <v>324</v>
      </c>
      <c r="L15" s="1" t="s">
        <v>1027</v>
      </c>
      <c r="M15" t="s">
        <v>867</v>
      </c>
    </row>
    <row r="16" spans="1:14" x14ac:dyDescent="0.3">
      <c r="A16" t="s">
        <v>325</v>
      </c>
      <c r="B16" t="s">
        <v>326</v>
      </c>
      <c r="C16" t="s">
        <v>327</v>
      </c>
      <c r="D16" t="s">
        <v>328</v>
      </c>
      <c r="E16" t="s">
        <v>35</v>
      </c>
      <c r="F16" t="s">
        <v>329</v>
      </c>
      <c r="G16" t="s">
        <v>17</v>
      </c>
      <c r="H16" t="s">
        <v>330</v>
      </c>
      <c r="I16" t="s">
        <v>112</v>
      </c>
      <c r="J16" t="s">
        <v>20</v>
      </c>
      <c r="K16" t="s">
        <v>331</v>
      </c>
      <c r="L16" s="1" t="s">
        <v>1027</v>
      </c>
      <c r="M16" t="s">
        <v>867</v>
      </c>
    </row>
    <row r="17" spans="1:13" x14ac:dyDescent="0.3">
      <c r="A17" t="s">
        <v>332</v>
      </c>
      <c r="B17" t="s">
        <v>333</v>
      </c>
      <c r="C17" t="s">
        <v>334</v>
      </c>
      <c r="D17" t="s">
        <v>335</v>
      </c>
      <c r="E17" t="s">
        <v>336</v>
      </c>
      <c r="F17" t="s">
        <v>337</v>
      </c>
      <c r="G17" t="s">
        <v>17</v>
      </c>
      <c r="H17" t="s">
        <v>338</v>
      </c>
      <c r="I17" t="s">
        <v>112</v>
      </c>
      <c r="J17" t="s">
        <v>20</v>
      </c>
      <c r="K17" t="s">
        <v>339</v>
      </c>
      <c r="L17" s="1" t="s">
        <v>1027</v>
      </c>
      <c r="M17" t="s">
        <v>867</v>
      </c>
    </row>
    <row r="18" spans="1:13" x14ac:dyDescent="0.3">
      <c r="A18" t="s">
        <v>340</v>
      </c>
      <c r="B18" t="s">
        <v>341</v>
      </c>
      <c r="C18" t="s">
        <v>342</v>
      </c>
      <c r="D18" t="s">
        <v>343</v>
      </c>
      <c r="E18" t="s">
        <v>35</v>
      </c>
      <c r="F18" t="s">
        <v>344</v>
      </c>
      <c r="G18" t="s">
        <v>17</v>
      </c>
      <c r="H18" t="s">
        <v>345</v>
      </c>
      <c r="I18" t="s">
        <v>112</v>
      </c>
      <c r="J18" t="s">
        <v>20</v>
      </c>
      <c r="K18" t="s">
        <v>45</v>
      </c>
      <c r="L18" s="1" t="s">
        <v>1027</v>
      </c>
      <c r="M18" t="s">
        <v>872</v>
      </c>
    </row>
    <row r="19" spans="1:13" x14ac:dyDescent="0.3">
      <c r="A19" t="s">
        <v>354</v>
      </c>
      <c r="B19" t="s">
        <v>355</v>
      </c>
      <c r="C19" t="s">
        <v>356</v>
      </c>
      <c r="D19" t="s">
        <v>357</v>
      </c>
      <c r="E19" t="s">
        <v>299</v>
      </c>
      <c r="F19" t="s">
        <v>358</v>
      </c>
      <c r="G19" t="s">
        <v>17</v>
      </c>
      <c r="H19" t="s">
        <v>359</v>
      </c>
      <c r="I19" t="s">
        <v>248</v>
      </c>
      <c r="J19" t="s">
        <v>87</v>
      </c>
      <c r="K19" t="s">
        <v>302</v>
      </c>
      <c r="L19" s="1" t="s">
        <v>1027</v>
      </c>
      <c r="M19" t="s">
        <v>867</v>
      </c>
    </row>
    <row r="20" spans="1:13" x14ac:dyDescent="0.3">
      <c r="A20" t="s">
        <v>498</v>
      </c>
      <c r="B20" t="s">
        <v>499</v>
      </c>
      <c r="C20" t="s">
        <v>500</v>
      </c>
      <c r="D20" t="s">
        <v>501</v>
      </c>
      <c r="F20" t="s">
        <v>502</v>
      </c>
      <c r="G20" t="s">
        <v>503</v>
      </c>
      <c r="H20" t="s">
        <v>504</v>
      </c>
      <c r="I20" t="s">
        <v>112</v>
      </c>
      <c r="J20" t="s">
        <v>29</v>
      </c>
      <c r="K20" t="s">
        <v>505</v>
      </c>
      <c r="L20" s="1" t="s">
        <v>1027</v>
      </c>
      <c r="M20" t="s">
        <v>867</v>
      </c>
    </row>
    <row r="21" spans="1:13" x14ac:dyDescent="0.3">
      <c r="A21" t="s">
        <v>506</v>
      </c>
      <c r="B21" t="s">
        <v>507</v>
      </c>
      <c r="C21" t="s">
        <v>508</v>
      </c>
      <c r="D21" t="s">
        <v>509</v>
      </c>
      <c r="F21" t="s">
        <v>508</v>
      </c>
      <c r="G21" t="s">
        <v>510</v>
      </c>
      <c r="H21" t="s">
        <v>511</v>
      </c>
      <c r="I21" t="s">
        <v>112</v>
      </c>
      <c r="K21" t="s">
        <v>512</v>
      </c>
      <c r="L21" s="1" t="s">
        <v>1027</v>
      </c>
      <c r="M21" t="s">
        <v>872</v>
      </c>
    </row>
    <row r="22" spans="1:13" x14ac:dyDescent="0.3">
      <c r="A22" t="s">
        <v>843</v>
      </c>
      <c r="B22" t="s">
        <v>844</v>
      </c>
      <c r="C22" t="s">
        <v>845</v>
      </c>
      <c r="D22" t="s">
        <v>846</v>
      </c>
      <c r="F22" t="s">
        <v>847</v>
      </c>
      <c r="G22" t="s">
        <v>17</v>
      </c>
      <c r="H22" t="s">
        <v>848</v>
      </c>
      <c r="I22" t="s">
        <v>19</v>
      </c>
      <c r="K22" t="s">
        <v>849</v>
      </c>
      <c r="L22" s="1" t="s">
        <v>1027</v>
      </c>
      <c r="M22" t="s">
        <v>1023</v>
      </c>
    </row>
    <row r="23" spans="1:13" x14ac:dyDescent="0.3">
      <c r="A23" t="s">
        <v>857</v>
      </c>
      <c r="B23" t="s">
        <v>858</v>
      </c>
      <c r="C23" t="s">
        <v>859</v>
      </c>
      <c r="D23" t="s">
        <v>860</v>
      </c>
      <c r="E23" t="s">
        <v>861</v>
      </c>
      <c r="F23" t="s">
        <v>862</v>
      </c>
      <c r="G23" t="s">
        <v>17</v>
      </c>
      <c r="H23" t="s">
        <v>863</v>
      </c>
      <c r="I23" t="s">
        <v>19</v>
      </c>
      <c r="J23" t="s">
        <v>20</v>
      </c>
      <c r="K23" t="s">
        <v>864</v>
      </c>
      <c r="L23" s="2" t="s">
        <v>1024</v>
      </c>
      <c r="M23" t="s">
        <v>1001</v>
      </c>
    </row>
    <row r="24" spans="1:13" x14ac:dyDescent="0.3">
      <c r="A24" t="s">
        <v>105</v>
      </c>
      <c r="B24" t="s">
        <v>106</v>
      </c>
      <c r="C24" t="s">
        <v>107</v>
      </c>
      <c r="D24" t="s">
        <v>108</v>
      </c>
      <c r="F24" t="s">
        <v>109</v>
      </c>
      <c r="G24" t="s">
        <v>110</v>
      </c>
      <c r="H24" t="s">
        <v>111</v>
      </c>
      <c r="I24" t="s">
        <v>112</v>
      </c>
      <c r="J24" t="s">
        <v>61</v>
      </c>
      <c r="K24" t="s">
        <v>113</v>
      </c>
      <c r="L24" s="3" t="s">
        <v>1018</v>
      </c>
      <c r="M24" t="s">
        <v>998</v>
      </c>
    </row>
    <row r="25" spans="1:13" x14ac:dyDescent="0.3">
      <c r="A25" t="s">
        <v>123</v>
      </c>
      <c r="B25" t="s">
        <v>124</v>
      </c>
      <c r="C25" t="s">
        <v>125</v>
      </c>
      <c r="D25" t="s">
        <v>126</v>
      </c>
      <c r="F25" t="s">
        <v>127</v>
      </c>
      <c r="G25" t="s">
        <v>119</v>
      </c>
      <c r="H25" t="s">
        <v>128</v>
      </c>
      <c r="I25" t="s">
        <v>129</v>
      </c>
      <c r="J25" t="s">
        <v>130</v>
      </c>
      <c r="K25" t="s">
        <v>131</v>
      </c>
      <c r="L25" s="3" t="s">
        <v>1018</v>
      </c>
      <c r="M25" t="s">
        <v>998</v>
      </c>
    </row>
    <row r="26" spans="1:13" x14ac:dyDescent="0.3">
      <c r="A26" t="s">
        <v>114</v>
      </c>
      <c r="B26" t="s">
        <v>115</v>
      </c>
      <c r="C26" t="s">
        <v>116</v>
      </c>
      <c r="D26" t="s">
        <v>117</v>
      </c>
      <c r="F26" t="s">
        <v>118</v>
      </c>
      <c r="G26" t="s">
        <v>119</v>
      </c>
      <c r="H26" t="s">
        <v>120</v>
      </c>
      <c r="I26" t="s">
        <v>121</v>
      </c>
      <c r="J26" t="s">
        <v>61</v>
      </c>
      <c r="K26" t="s">
        <v>122</v>
      </c>
      <c r="L26" s="3" t="s">
        <v>1018</v>
      </c>
      <c r="M26" t="s">
        <v>998</v>
      </c>
    </row>
    <row r="27" spans="1:13" x14ac:dyDescent="0.3">
      <c r="A27" t="s">
        <v>132</v>
      </c>
      <c r="B27" t="s">
        <v>133</v>
      </c>
      <c r="C27" t="s">
        <v>134</v>
      </c>
      <c r="D27" t="s">
        <v>135</v>
      </c>
      <c r="F27" t="s">
        <v>136</v>
      </c>
      <c r="G27" t="s">
        <v>110</v>
      </c>
      <c r="H27" t="s">
        <v>137</v>
      </c>
      <c r="I27" t="s">
        <v>112</v>
      </c>
      <c r="J27" t="s">
        <v>61</v>
      </c>
      <c r="K27" t="s">
        <v>113</v>
      </c>
      <c r="L27" s="3" t="s">
        <v>1018</v>
      </c>
      <c r="M27" t="s">
        <v>998</v>
      </c>
    </row>
    <row r="28" spans="1:13" x14ac:dyDescent="0.3">
      <c r="A28" t="s">
        <v>151</v>
      </c>
      <c r="B28" t="s">
        <v>152</v>
      </c>
      <c r="C28" t="s">
        <v>153</v>
      </c>
      <c r="D28" t="s">
        <v>154</v>
      </c>
      <c r="F28" t="s">
        <v>155</v>
      </c>
      <c r="G28" t="s">
        <v>156</v>
      </c>
      <c r="H28" t="s">
        <v>157</v>
      </c>
      <c r="I28" t="s">
        <v>19</v>
      </c>
      <c r="J28" t="s">
        <v>29</v>
      </c>
      <c r="K28" t="s">
        <v>158</v>
      </c>
      <c r="L28" s="3" t="s">
        <v>1018</v>
      </c>
      <c r="M28" t="s">
        <v>998</v>
      </c>
    </row>
    <row r="29" spans="1:13" x14ac:dyDescent="0.3">
      <c r="A29" t="s">
        <v>159</v>
      </c>
      <c r="B29" t="s">
        <v>160</v>
      </c>
      <c r="C29" t="s">
        <v>161</v>
      </c>
      <c r="D29" t="s">
        <v>162</v>
      </c>
      <c r="E29" t="s">
        <v>163</v>
      </c>
      <c r="F29" t="s">
        <v>164</v>
      </c>
      <c r="G29" t="s">
        <v>17</v>
      </c>
      <c r="H29" t="s">
        <v>165</v>
      </c>
      <c r="I29" t="s">
        <v>19</v>
      </c>
      <c r="J29" t="s">
        <v>20</v>
      </c>
      <c r="K29" t="s">
        <v>166</v>
      </c>
      <c r="L29" s="3" t="s">
        <v>1018</v>
      </c>
      <c r="M29" t="s">
        <v>998</v>
      </c>
    </row>
    <row r="30" spans="1:13" x14ac:dyDescent="0.3">
      <c r="A30" t="s">
        <v>167</v>
      </c>
      <c r="B30" t="s">
        <v>168</v>
      </c>
      <c r="C30" t="s">
        <v>169</v>
      </c>
      <c r="D30" t="s">
        <v>170</v>
      </c>
      <c r="F30" t="s">
        <v>171</v>
      </c>
      <c r="G30" t="s">
        <v>156</v>
      </c>
      <c r="H30" t="s">
        <v>172</v>
      </c>
      <c r="I30" t="s">
        <v>19</v>
      </c>
      <c r="J30" t="s">
        <v>29</v>
      </c>
      <c r="K30" t="s">
        <v>173</v>
      </c>
      <c r="L30" s="3" t="s">
        <v>1018</v>
      </c>
      <c r="M30" t="s">
        <v>998</v>
      </c>
    </row>
    <row r="31" spans="1:13" x14ac:dyDescent="0.3">
      <c r="A31" t="s">
        <v>174</v>
      </c>
      <c r="B31" t="s">
        <v>175</v>
      </c>
      <c r="C31" t="s">
        <v>176</v>
      </c>
      <c r="D31" t="s">
        <v>177</v>
      </c>
      <c r="E31" t="s">
        <v>163</v>
      </c>
      <c r="F31" t="s">
        <v>178</v>
      </c>
      <c r="G31" t="s">
        <v>17</v>
      </c>
      <c r="H31" t="s">
        <v>179</v>
      </c>
      <c r="I31" t="s">
        <v>19</v>
      </c>
      <c r="J31" t="s">
        <v>20</v>
      </c>
      <c r="K31" t="s">
        <v>180</v>
      </c>
      <c r="L31" s="3" t="s">
        <v>1018</v>
      </c>
      <c r="M31" t="s">
        <v>998</v>
      </c>
    </row>
    <row r="32" spans="1:13" x14ac:dyDescent="0.3">
      <c r="A32" t="s">
        <v>138</v>
      </c>
      <c r="B32" t="s">
        <v>139</v>
      </c>
      <c r="C32" t="s">
        <v>140</v>
      </c>
      <c r="D32" t="s">
        <v>141</v>
      </c>
      <c r="F32" t="s">
        <v>142</v>
      </c>
      <c r="G32" t="s">
        <v>17</v>
      </c>
      <c r="H32" t="s">
        <v>143</v>
      </c>
      <c r="I32" t="s">
        <v>53</v>
      </c>
      <c r="J32" t="s">
        <v>61</v>
      </c>
      <c r="K32" t="s">
        <v>144</v>
      </c>
      <c r="L32" s="3" t="s">
        <v>1018</v>
      </c>
      <c r="M32" t="s">
        <v>998</v>
      </c>
    </row>
    <row r="33" spans="1:13" x14ac:dyDescent="0.3">
      <c r="A33" t="s">
        <v>145</v>
      </c>
      <c r="B33" t="s">
        <v>146</v>
      </c>
      <c r="C33" t="s">
        <v>147</v>
      </c>
      <c r="D33" t="s">
        <v>148</v>
      </c>
      <c r="F33" t="s">
        <v>149</v>
      </c>
      <c r="G33" t="s">
        <v>17</v>
      </c>
      <c r="H33" t="s">
        <v>150</v>
      </c>
      <c r="I33" t="s">
        <v>53</v>
      </c>
      <c r="J33" t="s">
        <v>61</v>
      </c>
      <c r="K33" t="s">
        <v>144</v>
      </c>
      <c r="L33" s="3" t="s">
        <v>1018</v>
      </c>
      <c r="M33" t="s">
        <v>998</v>
      </c>
    </row>
    <row r="34" spans="1:13" x14ac:dyDescent="0.3">
      <c r="A34" t="s">
        <v>46</v>
      </c>
      <c r="B34" t="s">
        <v>47</v>
      </c>
      <c r="C34" t="s">
        <v>48</v>
      </c>
      <c r="D34" t="s">
        <v>49</v>
      </c>
      <c r="F34" t="s">
        <v>50</v>
      </c>
      <c r="G34" t="s">
        <v>51</v>
      </c>
      <c r="H34" t="s">
        <v>52</v>
      </c>
      <c r="I34" t="s">
        <v>53</v>
      </c>
      <c r="K34" t="s">
        <v>54</v>
      </c>
      <c r="L34" s="1" t="s">
        <v>1031</v>
      </c>
      <c r="M34" t="s">
        <v>1012</v>
      </c>
    </row>
    <row r="35" spans="1:13" x14ac:dyDescent="0.3">
      <c r="A35" t="s">
        <v>55</v>
      </c>
      <c r="B35" t="s">
        <v>56</v>
      </c>
      <c r="C35" t="s">
        <v>57</v>
      </c>
      <c r="D35" t="s">
        <v>58</v>
      </c>
      <c r="F35" t="s">
        <v>50</v>
      </c>
      <c r="G35" t="s">
        <v>59</v>
      </c>
      <c r="H35" t="s">
        <v>60</v>
      </c>
      <c r="I35" t="s">
        <v>19</v>
      </c>
      <c r="J35" t="s">
        <v>61</v>
      </c>
      <c r="K35" t="s">
        <v>62</v>
      </c>
      <c r="L35" s="1" t="s">
        <v>1031</v>
      </c>
      <c r="M35" t="s">
        <v>1012</v>
      </c>
    </row>
    <row r="36" spans="1:13" x14ac:dyDescent="0.3">
      <c r="A36" t="s">
        <v>574</v>
      </c>
      <c r="B36" t="s">
        <v>575</v>
      </c>
      <c r="C36" t="s">
        <v>576</v>
      </c>
      <c r="D36" t="s">
        <v>577</v>
      </c>
      <c r="F36" t="s">
        <v>578</v>
      </c>
      <c r="G36" t="s">
        <v>262</v>
      </c>
      <c r="H36" t="s">
        <v>579</v>
      </c>
      <c r="I36" t="s">
        <v>53</v>
      </c>
      <c r="K36" t="s">
        <v>580</v>
      </c>
      <c r="L36" s="1" t="s">
        <v>1031</v>
      </c>
      <c r="M36" t="s">
        <v>1012</v>
      </c>
    </row>
    <row r="37" spans="1:13" x14ac:dyDescent="0.3">
      <c r="A37" t="s">
        <v>639</v>
      </c>
      <c r="B37" t="s">
        <v>640</v>
      </c>
      <c r="C37" t="s">
        <v>641</v>
      </c>
      <c r="D37" t="s">
        <v>642</v>
      </c>
      <c r="F37" t="s">
        <v>643</v>
      </c>
      <c r="G37" t="s">
        <v>262</v>
      </c>
      <c r="H37" t="s">
        <v>644</v>
      </c>
      <c r="I37" t="s">
        <v>53</v>
      </c>
      <c r="K37" t="s">
        <v>580</v>
      </c>
      <c r="L37" s="1" t="s">
        <v>1031</v>
      </c>
      <c r="M37" t="s">
        <v>1012</v>
      </c>
    </row>
    <row r="38" spans="1:13" x14ac:dyDescent="0.3">
      <c r="A38" t="s">
        <v>645</v>
      </c>
      <c r="B38" t="s">
        <v>646</v>
      </c>
      <c r="C38" t="s">
        <v>647</v>
      </c>
      <c r="D38" t="s">
        <v>648</v>
      </c>
      <c r="F38" t="s">
        <v>649</v>
      </c>
      <c r="G38" t="s">
        <v>262</v>
      </c>
      <c r="H38" t="s">
        <v>650</v>
      </c>
      <c r="I38" t="s">
        <v>53</v>
      </c>
      <c r="K38" t="s">
        <v>580</v>
      </c>
      <c r="L38" s="1" t="s">
        <v>1031</v>
      </c>
      <c r="M38" t="s">
        <v>1012</v>
      </c>
    </row>
    <row r="39" spans="1:13" x14ac:dyDescent="0.3">
      <c r="A39" t="s">
        <v>658</v>
      </c>
      <c r="B39" t="s">
        <v>659</v>
      </c>
      <c r="C39" t="s">
        <v>660</v>
      </c>
      <c r="D39" t="s">
        <v>661</v>
      </c>
      <c r="F39" t="s">
        <v>662</v>
      </c>
      <c r="G39" t="s">
        <v>262</v>
      </c>
      <c r="H39" t="s">
        <v>663</v>
      </c>
      <c r="I39" t="s">
        <v>53</v>
      </c>
      <c r="K39" t="s">
        <v>580</v>
      </c>
      <c r="L39" s="1" t="s">
        <v>1031</v>
      </c>
      <c r="M39" t="s">
        <v>1012</v>
      </c>
    </row>
    <row r="40" spans="1:13" x14ac:dyDescent="0.3">
      <c r="A40" t="s">
        <v>631</v>
      </c>
      <c r="B40" t="s">
        <v>632</v>
      </c>
      <c r="C40" t="s">
        <v>633</v>
      </c>
      <c r="D40" t="s">
        <v>634</v>
      </c>
      <c r="F40" t="s">
        <v>635</v>
      </c>
      <c r="G40" t="s">
        <v>636</v>
      </c>
      <c r="H40" t="s">
        <v>637</v>
      </c>
      <c r="I40" t="s">
        <v>19</v>
      </c>
      <c r="J40" t="s">
        <v>29</v>
      </c>
      <c r="K40" t="s">
        <v>638</v>
      </c>
      <c r="L40" s="1" t="s">
        <v>1031</v>
      </c>
      <c r="M40" t="s">
        <v>1012</v>
      </c>
    </row>
    <row r="41" spans="1:13" x14ac:dyDescent="0.3">
      <c r="A41" t="s">
        <v>651</v>
      </c>
      <c r="B41" t="s">
        <v>652</v>
      </c>
      <c r="C41" t="s">
        <v>653</v>
      </c>
      <c r="D41" t="s">
        <v>654</v>
      </c>
      <c r="E41" t="s">
        <v>35</v>
      </c>
      <c r="F41" t="s">
        <v>655</v>
      </c>
      <c r="G41" t="s">
        <v>17</v>
      </c>
      <c r="H41" t="s">
        <v>656</v>
      </c>
      <c r="I41" t="s">
        <v>53</v>
      </c>
      <c r="J41" t="s">
        <v>20</v>
      </c>
      <c r="K41" t="s">
        <v>657</v>
      </c>
      <c r="L41" s="1" t="s">
        <v>1031</v>
      </c>
      <c r="M41" t="s">
        <v>1012</v>
      </c>
    </row>
    <row r="42" spans="1:13" x14ac:dyDescent="0.3">
      <c r="A42" t="s">
        <v>440</v>
      </c>
      <c r="B42" t="s">
        <v>441</v>
      </c>
      <c r="C42" t="s">
        <v>442</v>
      </c>
      <c r="D42" t="s">
        <v>443</v>
      </c>
      <c r="E42" t="s">
        <v>35</v>
      </c>
      <c r="F42" t="s">
        <v>444</v>
      </c>
      <c r="G42" t="s">
        <v>17</v>
      </c>
      <c r="H42" t="s">
        <v>445</v>
      </c>
      <c r="I42" t="s">
        <v>53</v>
      </c>
      <c r="J42" t="s">
        <v>20</v>
      </c>
      <c r="K42" t="s">
        <v>446</v>
      </c>
      <c r="L42" s="1" t="s">
        <v>1031</v>
      </c>
      <c r="M42" t="s">
        <v>1012</v>
      </c>
    </row>
    <row r="43" spans="1:13" x14ac:dyDescent="0.3">
      <c r="A43" t="s">
        <v>827</v>
      </c>
      <c r="B43" t="s">
        <v>828</v>
      </c>
      <c r="C43" t="s">
        <v>829</v>
      </c>
      <c r="D43" t="s">
        <v>830</v>
      </c>
      <c r="F43" t="s">
        <v>831</v>
      </c>
      <c r="G43" t="s">
        <v>832</v>
      </c>
      <c r="H43" t="s">
        <v>833</v>
      </c>
      <c r="I43" t="s">
        <v>19</v>
      </c>
      <c r="K43" t="s">
        <v>834</v>
      </c>
      <c r="L43" s="1" t="s">
        <v>1031</v>
      </c>
      <c r="M43" t="s">
        <v>1012</v>
      </c>
    </row>
    <row r="44" spans="1:13" x14ac:dyDescent="0.3">
      <c r="A44" t="s">
        <v>346</v>
      </c>
      <c r="B44" t="s">
        <v>347</v>
      </c>
      <c r="C44" t="s">
        <v>348</v>
      </c>
      <c r="D44" t="s">
        <v>349</v>
      </c>
      <c r="E44" t="s">
        <v>35</v>
      </c>
      <c r="F44" t="s">
        <v>350</v>
      </c>
      <c r="G44" t="s">
        <v>351</v>
      </c>
      <c r="H44" t="s">
        <v>352</v>
      </c>
      <c r="I44" t="s">
        <v>53</v>
      </c>
      <c r="K44" t="s">
        <v>353</v>
      </c>
      <c r="L44" s="1" t="s">
        <v>1031</v>
      </c>
      <c r="M44" t="s">
        <v>1012</v>
      </c>
    </row>
    <row r="45" spans="1:13" x14ac:dyDescent="0.3">
      <c r="A45" t="s">
        <v>664</v>
      </c>
      <c r="B45" t="s">
        <v>665</v>
      </c>
      <c r="C45" t="s">
        <v>666</v>
      </c>
      <c r="D45" t="s">
        <v>667</v>
      </c>
      <c r="F45" t="s">
        <v>668</v>
      </c>
      <c r="G45" t="s">
        <v>669</v>
      </c>
      <c r="H45" t="s">
        <v>670</v>
      </c>
      <c r="I45" t="s">
        <v>19</v>
      </c>
      <c r="J45" t="s">
        <v>61</v>
      </c>
      <c r="K45" t="s">
        <v>671</v>
      </c>
      <c r="L45" s="1" t="s">
        <v>1031</v>
      </c>
      <c r="M45" t="s">
        <v>1012</v>
      </c>
    </row>
    <row r="46" spans="1:13" x14ac:dyDescent="0.3">
      <c r="A46" t="s">
        <v>672</v>
      </c>
      <c r="B46" t="s">
        <v>673</v>
      </c>
      <c r="C46" t="s">
        <v>674</v>
      </c>
      <c r="D46" t="s">
        <v>675</v>
      </c>
      <c r="F46" t="s">
        <v>676</v>
      </c>
      <c r="G46" t="s">
        <v>677</v>
      </c>
      <c r="H46" t="s">
        <v>678</v>
      </c>
      <c r="I46" t="s">
        <v>19</v>
      </c>
      <c r="J46" t="s">
        <v>61</v>
      </c>
      <c r="K46" t="s">
        <v>679</v>
      </c>
      <c r="L46" s="1" t="s">
        <v>1031</v>
      </c>
      <c r="M46" t="s">
        <v>1012</v>
      </c>
    </row>
    <row r="47" spans="1:13" x14ac:dyDescent="0.3">
      <c r="A47" t="s">
        <v>680</v>
      </c>
      <c r="B47" t="s">
        <v>681</v>
      </c>
      <c r="C47" t="s">
        <v>682</v>
      </c>
      <c r="D47" t="s">
        <v>683</v>
      </c>
      <c r="F47" t="s">
        <v>684</v>
      </c>
      <c r="G47" t="s">
        <v>262</v>
      </c>
      <c r="H47" t="s">
        <v>685</v>
      </c>
      <c r="I47" t="s">
        <v>112</v>
      </c>
      <c r="J47" t="s">
        <v>29</v>
      </c>
      <c r="K47" t="s">
        <v>686</v>
      </c>
      <c r="L47" s="1" t="s">
        <v>1031</v>
      </c>
      <c r="M47" t="s">
        <v>1012</v>
      </c>
    </row>
    <row r="48" spans="1:13" x14ac:dyDescent="0.3">
      <c r="A48" t="s">
        <v>790</v>
      </c>
      <c r="B48" t="s">
        <v>791</v>
      </c>
      <c r="C48" t="s">
        <v>792</v>
      </c>
      <c r="D48" t="s">
        <v>793</v>
      </c>
      <c r="F48" t="s">
        <v>794</v>
      </c>
      <c r="G48" t="s">
        <v>767</v>
      </c>
      <c r="H48" t="s">
        <v>795</v>
      </c>
      <c r="I48" t="s">
        <v>53</v>
      </c>
      <c r="J48" t="s">
        <v>61</v>
      </c>
      <c r="K48" t="s">
        <v>796</v>
      </c>
      <c r="L48" s="1" t="s">
        <v>1031</v>
      </c>
      <c r="M48" t="s">
        <v>1012</v>
      </c>
    </row>
    <row r="49" spans="1:13" x14ac:dyDescent="0.3">
      <c r="A49" t="s">
        <v>797</v>
      </c>
      <c r="B49" t="s">
        <v>798</v>
      </c>
      <c r="C49" t="s">
        <v>799</v>
      </c>
      <c r="D49" t="s">
        <v>800</v>
      </c>
      <c r="F49" t="s">
        <v>801</v>
      </c>
      <c r="G49" t="s">
        <v>351</v>
      </c>
      <c r="H49" t="s">
        <v>802</v>
      </c>
      <c r="I49" t="s">
        <v>19</v>
      </c>
      <c r="J49" t="s">
        <v>61</v>
      </c>
      <c r="K49" t="s">
        <v>803</v>
      </c>
      <c r="L49" s="1" t="s">
        <v>1031</v>
      </c>
      <c r="M49" t="s">
        <v>1012</v>
      </c>
    </row>
    <row r="50" spans="1:13" x14ac:dyDescent="0.3">
      <c r="A50" t="s">
        <v>804</v>
      </c>
      <c r="B50" t="s">
        <v>805</v>
      </c>
      <c r="C50" t="s">
        <v>806</v>
      </c>
      <c r="D50" t="s">
        <v>807</v>
      </c>
      <c r="F50" t="s">
        <v>808</v>
      </c>
      <c r="G50" t="s">
        <v>351</v>
      </c>
      <c r="H50" t="s">
        <v>809</v>
      </c>
      <c r="I50" t="s">
        <v>19</v>
      </c>
      <c r="J50" t="s">
        <v>61</v>
      </c>
      <c r="K50" t="s">
        <v>810</v>
      </c>
      <c r="L50" s="1" t="s">
        <v>1031</v>
      </c>
      <c r="M50" t="s">
        <v>1012</v>
      </c>
    </row>
    <row r="51" spans="1:13" x14ac:dyDescent="0.3">
      <c r="A51" t="s">
        <v>265</v>
      </c>
      <c r="B51" t="s">
        <v>266</v>
      </c>
      <c r="C51" t="s">
        <v>267</v>
      </c>
      <c r="D51" t="s">
        <v>268</v>
      </c>
      <c r="F51" t="s">
        <v>269</v>
      </c>
      <c r="G51" t="s">
        <v>270</v>
      </c>
      <c r="H51" t="s">
        <v>271</v>
      </c>
      <c r="I51" t="s">
        <v>53</v>
      </c>
      <c r="K51" t="s">
        <v>272</v>
      </c>
      <c r="L51" s="1" t="s">
        <v>1028</v>
      </c>
      <c r="M51" t="s">
        <v>1007</v>
      </c>
    </row>
    <row r="52" spans="1:13" x14ac:dyDescent="0.3">
      <c r="A52" t="s">
        <v>273</v>
      </c>
      <c r="B52" t="s">
        <v>274</v>
      </c>
      <c r="C52" t="s">
        <v>275</v>
      </c>
      <c r="D52" t="s">
        <v>276</v>
      </c>
      <c r="F52" t="s">
        <v>277</v>
      </c>
      <c r="G52" t="s">
        <v>278</v>
      </c>
      <c r="H52" t="s">
        <v>279</v>
      </c>
      <c r="I52" t="s">
        <v>53</v>
      </c>
      <c r="J52" t="s">
        <v>61</v>
      </c>
      <c r="K52" t="s">
        <v>280</v>
      </c>
      <c r="L52" s="1" t="s">
        <v>1028</v>
      </c>
      <c r="M52" t="s">
        <v>1007</v>
      </c>
    </row>
    <row r="53" spans="1:13" x14ac:dyDescent="0.3">
      <c r="A53" t="s">
        <v>281</v>
      </c>
      <c r="B53" t="s">
        <v>282</v>
      </c>
      <c r="C53" t="s">
        <v>283</v>
      </c>
      <c r="D53" t="s">
        <v>284</v>
      </c>
      <c r="F53" t="s">
        <v>277</v>
      </c>
      <c r="G53" t="s">
        <v>285</v>
      </c>
      <c r="H53" t="s">
        <v>286</v>
      </c>
      <c r="I53" t="s">
        <v>53</v>
      </c>
      <c r="J53" t="s">
        <v>61</v>
      </c>
      <c r="K53" t="s">
        <v>287</v>
      </c>
      <c r="L53" s="1" t="s">
        <v>1028</v>
      </c>
      <c r="M53" t="s">
        <v>1007</v>
      </c>
    </row>
    <row r="54" spans="1:13" x14ac:dyDescent="0.3">
      <c r="A54" t="s">
        <v>181</v>
      </c>
      <c r="B54" t="s">
        <v>182</v>
      </c>
      <c r="C54" t="s">
        <v>183</v>
      </c>
      <c r="D54" t="s">
        <v>184</v>
      </c>
      <c r="F54" t="s">
        <v>185</v>
      </c>
      <c r="G54" t="s">
        <v>186</v>
      </c>
      <c r="H54" t="s">
        <v>187</v>
      </c>
      <c r="I54" t="s">
        <v>19</v>
      </c>
      <c r="J54" t="s">
        <v>61</v>
      </c>
      <c r="K54" t="s">
        <v>188</v>
      </c>
      <c r="L54" s="3" t="s">
        <v>1019</v>
      </c>
      <c r="M54" t="s">
        <v>1001</v>
      </c>
    </row>
    <row r="55" spans="1:13" x14ac:dyDescent="0.3">
      <c r="A55" t="s">
        <v>482</v>
      </c>
      <c r="B55" t="s">
        <v>483</v>
      </c>
      <c r="C55" t="s">
        <v>484</v>
      </c>
      <c r="D55" t="s">
        <v>485</v>
      </c>
      <c r="F55" t="s">
        <v>486</v>
      </c>
      <c r="G55" t="s">
        <v>487</v>
      </c>
      <c r="H55" t="s">
        <v>488</v>
      </c>
      <c r="I55" t="s">
        <v>19</v>
      </c>
      <c r="J55" t="s">
        <v>61</v>
      </c>
      <c r="K55" t="s">
        <v>489</v>
      </c>
      <c r="L55" s="3" t="s">
        <v>1019</v>
      </c>
      <c r="M55" t="s">
        <v>1008</v>
      </c>
    </row>
    <row r="56" spans="1:13" x14ac:dyDescent="0.3">
      <c r="A56" t="s">
        <v>490</v>
      </c>
      <c r="B56" t="s">
        <v>491</v>
      </c>
      <c r="C56" t="s">
        <v>492</v>
      </c>
      <c r="D56" t="s">
        <v>493</v>
      </c>
      <c r="F56" t="s">
        <v>494</v>
      </c>
      <c r="G56" t="s">
        <v>495</v>
      </c>
      <c r="H56" t="s">
        <v>496</v>
      </c>
      <c r="I56" t="s">
        <v>112</v>
      </c>
      <c r="J56" t="s">
        <v>61</v>
      </c>
      <c r="K56" t="s">
        <v>497</v>
      </c>
      <c r="L56" s="3" t="s">
        <v>1019</v>
      </c>
      <c r="M56" t="s">
        <v>1008</v>
      </c>
    </row>
    <row r="57" spans="1:13" x14ac:dyDescent="0.3">
      <c r="A57" t="s">
        <v>513</v>
      </c>
      <c r="B57" t="s">
        <v>514</v>
      </c>
      <c r="C57" t="s">
        <v>515</v>
      </c>
      <c r="D57" t="s">
        <v>516</v>
      </c>
      <c r="F57" t="s">
        <v>517</v>
      </c>
      <c r="G57" t="s">
        <v>518</v>
      </c>
      <c r="H57" t="s">
        <v>519</v>
      </c>
      <c r="I57" t="s">
        <v>53</v>
      </c>
      <c r="J57" t="s">
        <v>61</v>
      </c>
      <c r="K57" t="s">
        <v>520</v>
      </c>
      <c r="L57" s="3" t="s">
        <v>1019</v>
      </c>
      <c r="M57" t="s">
        <v>1001</v>
      </c>
    </row>
    <row r="58" spans="1:13" x14ac:dyDescent="0.3">
      <c r="A58" t="s">
        <v>528</v>
      </c>
      <c r="B58" t="s">
        <v>529</v>
      </c>
      <c r="C58" t="s">
        <v>530</v>
      </c>
      <c r="D58" t="s">
        <v>531</v>
      </c>
      <c r="F58" t="s">
        <v>532</v>
      </c>
      <c r="G58" t="s">
        <v>533</v>
      </c>
      <c r="H58" t="s">
        <v>534</v>
      </c>
      <c r="I58" t="s">
        <v>535</v>
      </c>
      <c r="J58" t="s">
        <v>29</v>
      </c>
      <c r="K58" t="s">
        <v>520</v>
      </c>
      <c r="L58" s="3" t="s">
        <v>1019</v>
      </c>
      <c r="M58" t="s">
        <v>1001</v>
      </c>
    </row>
    <row r="59" spans="1:13" x14ac:dyDescent="0.3">
      <c r="A59" t="s">
        <v>521</v>
      </c>
      <c r="B59" t="s">
        <v>522</v>
      </c>
      <c r="C59" t="s">
        <v>523</v>
      </c>
      <c r="D59" t="s">
        <v>524</v>
      </c>
      <c r="F59" t="s">
        <v>525</v>
      </c>
      <c r="G59" t="s">
        <v>526</v>
      </c>
      <c r="H59" t="s">
        <v>527</v>
      </c>
      <c r="I59" t="s">
        <v>121</v>
      </c>
      <c r="J59" t="s">
        <v>61</v>
      </c>
      <c r="K59" t="s">
        <v>520</v>
      </c>
      <c r="L59" s="3" t="s">
        <v>1019</v>
      </c>
      <c r="M59" t="s">
        <v>1001</v>
      </c>
    </row>
    <row r="60" spans="1:13" x14ac:dyDescent="0.3">
      <c r="A60" t="s">
        <v>536</v>
      </c>
      <c r="B60" t="s">
        <v>537</v>
      </c>
      <c r="C60" t="s">
        <v>538</v>
      </c>
      <c r="D60" t="s">
        <v>539</v>
      </c>
      <c r="F60" t="s">
        <v>540</v>
      </c>
      <c r="G60" t="s">
        <v>541</v>
      </c>
      <c r="H60" t="s">
        <v>542</v>
      </c>
      <c r="I60" t="s">
        <v>19</v>
      </c>
      <c r="J60" t="s">
        <v>61</v>
      </c>
      <c r="K60" t="s">
        <v>543</v>
      </c>
      <c r="L60" s="3" t="s">
        <v>1019</v>
      </c>
      <c r="M60" t="s">
        <v>1001</v>
      </c>
    </row>
    <row r="61" spans="1:13" x14ac:dyDescent="0.3">
      <c r="A61" t="s">
        <v>544</v>
      </c>
      <c r="B61" t="s">
        <v>545</v>
      </c>
      <c r="C61" t="s">
        <v>546</v>
      </c>
      <c r="D61" t="s">
        <v>547</v>
      </c>
      <c r="F61" t="s">
        <v>548</v>
      </c>
      <c r="G61" t="s">
        <v>549</v>
      </c>
      <c r="H61" t="s">
        <v>550</v>
      </c>
      <c r="I61" t="s">
        <v>551</v>
      </c>
      <c r="J61" t="s">
        <v>61</v>
      </c>
      <c r="K61" t="s">
        <v>552</v>
      </c>
      <c r="L61" s="3" t="s">
        <v>1019</v>
      </c>
      <c r="M61" t="s">
        <v>1001</v>
      </c>
    </row>
    <row r="62" spans="1:13" x14ac:dyDescent="0.3">
      <c r="A62" t="s">
        <v>63</v>
      </c>
      <c r="B62" t="s">
        <v>64</v>
      </c>
      <c r="C62" t="s">
        <v>65</v>
      </c>
      <c r="D62" t="s">
        <v>66</v>
      </c>
      <c r="E62" t="s">
        <v>67</v>
      </c>
      <c r="F62" t="s">
        <v>68</v>
      </c>
      <c r="G62" t="s">
        <v>17</v>
      </c>
      <c r="H62" t="s">
        <v>69</v>
      </c>
      <c r="I62" t="s">
        <v>19</v>
      </c>
      <c r="J62" t="s">
        <v>70</v>
      </c>
      <c r="K62" t="s">
        <v>71</v>
      </c>
      <c r="L62" s="1" t="s">
        <v>1029</v>
      </c>
      <c r="M62" t="s">
        <v>874</v>
      </c>
    </row>
    <row r="63" spans="1:13" x14ac:dyDescent="0.3">
      <c r="A63" t="s">
        <v>72</v>
      </c>
      <c r="B63" t="s">
        <v>73</v>
      </c>
      <c r="C63" t="s">
        <v>74</v>
      </c>
      <c r="D63" t="s">
        <v>75</v>
      </c>
      <c r="E63" t="s">
        <v>67</v>
      </c>
      <c r="F63" t="s">
        <v>76</v>
      </c>
      <c r="G63" t="s">
        <v>17</v>
      </c>
      <c r="H63" t="s">
        <v>77</v>
      </c>
      <c r="I63" t="s">
        <v>78</v>
      </c>
      <c r="J63" t="s">
        <v>20</v>
      </c>
      <c r="K63" t="s">
        <v>79</v>
      </c>
      <c r="L63" s="1" t="s">
        <v>1029</v>
      </c>
      <c r="M63" t="s">
        <v>874</v>
      </c>
    </row>
    <row r="64" spans="1:13" x14ac:dyDescent="0.3">
      <c r="A64" t="s">
        <v>80</v>
      </c>
      <c r="B64" t="s">
        <v>81</v>
      </c>
      <c r="C64" t="s">
        <v>82</v>
      </c>
      <c r="D64" t="s">
        <v>83</v>
      </c>
      <c r="E64" t="s">
        <v>67</v>
      </c>
      <c r="F64" t="s">
        <v>84</v>
      </c>
      <c r="G64" t="s">
        <v>17</v>
      </c>
      <c r="H64" t="s">
        <v>85</v>
      </c>
      <c r="I64" t="s">
        <v>86</v>
      </c>
      <c r="J64" t="s">
        <v>87</v>
      </c>
      <c r="K64" t="s">
        <v>88</v>
      </c>
      <c r="L64" s="1" t="s">
        <v>1029</v>
      </c>
      <c r="M64" t="s">
        <v>874</v>
      </c>
    </row>
    <row r="65" spans="1:14" x14ac:dyDescent="0.3">
      <c r="A65" t="s">
        <v>89</v>
      </c>
      <c r="B65" t="s">
        <v>90</v>
      </c>
      <c r="C65" t="s">
        <v>91</v>
      </c>
      <c r="D65" t="s">
        <v>92</v>
      </c>
      <c r="E65" t="s">
        <v>67</v>
      </c>
      <c r="F65" t="s">
        <v>93</v>
      </c>
      <c r="G65" t="s">
        <v>17</v>
      </c>
      <c r="H65" t="s">
        <v>94</v>
      </c>
      <c r="I65" t="s">
        <v>95</v>
      </c>
      <c r="J65" t="s">
        <v>96</v>
      </c>
      <c r="K65" t="s">
        <v>97</v>
      </c>
      <c r="L65" s="1" t="s">
        <v>1029</v>
      </c>
      <c r="M65" t="s">
        <v>874</v>
      </c>
    </row>
    <row r="66" spans="1:14" x14ac:dyDescent="0.3">
      <c r="A66" t="s">
        <v>360</v>
      </c>
      <c r="B66" t="s">
        <v>361</v>
      </c>
      <c r="C66" t="s">
        <v>362</v>
      </c>
      <c r="D66" t="s">
        <v>363</v>
      </c>
      <c r="E66" t="s">
        <v>364</v>
      </c>
      <c r="F66" t="s">
        <v>365</v>
      </c>
      <c r="G66" t="s">
        <v>17</v>
      </c>
      <c r="H66" t="s">
        <v>366</v>
      </c>
      <c r="I66" t="s">
        <v>19</v>
      </c>
      <c r="J66" t="s">
        <v>87</v>
      </c>
      <c r="K66" t="s">
        <v>367</v>
      </c>
      <c r="L66" s="1" t="s">
        <v>1029</v>
      </c>
      <c r="M66" t="s">
        <v>875</v>
      </c>
    </row>
    <row r="67" spans="1:14" x14ac:dyDescent="0.3">
      <c r="A67" t="s">
        <v>376</v>
      </c>
      <c r="B67" t="s">
        <v>377</v>
      </c>
      <c r="C67" t="s">
        <v>378</v>
      </c>
      <c r="D67" t="s">
        <v>379</v>
      </c>
      <c r="E67" t="s">
        <v>380</v>
      </c>
      <c r="F67" t="s">
        <v>381</v>
      </c>
      <c r="G67" t="s">
        <v>17</v>
      </c>
      <c r="H67" t="s">
        <v>382</v>
      </c>
      <c r="I67" t="s">
        <v>19</v>
      </c>
      <c r="J67" t="s">
        <v>20</v>
      </c>
      <c r="K67" t="s">
        <v>383</v>
      </c>
      <c r="L67" s="1" t="s">
        <v>1029</v>
      </c>
      <c r="M67" t="s">
        <v>876</v>
      </c>
    </row>
    <row r="68" spans="1:14" x14ac:dyDescent="0.3">
      <c r="A68" t="s">
        <v>384</v>
      </c>
      <c r="B68" t="s">
        <v>385</v>
      </c>
      <c r="C68" t="s">
        <v>386</v>
      </c>
      <c r="D68" t="s">
        <v>387</v>
      </c>
      <c r="E68" t="s">
        <v>388</v>
      </c>
      <c r="F68" t="s">
        <v>389</v>
      </c>
      <c r="G68" t="s">
        <v>17</v>
      </c>
      <c r="H68" t="s">
        <v>390</v>
      </c>
      <c r="I68" t="s">
        <v>19</v>
      </c>
      <c r="J68" t="s">
        <v>391</v>
      </c>
      <c r="K68" t="s">
        <v>392</v>
      </c>
      <c r="L68" s="2" t="s">
        <v>1029</v>
      </c>
      <c r="M68" t="s">
        <v>877</v>
      </c>
    </row>
    <row r="69" spans="1:14" x14ac:dyDescent="0.3">
      <c r="A69" t="s">
        <v>393</v>
      </c>
      <c r="B69" t="s">
        <v>394</v>
      </c>
      <c r="C69" t="s">
        <v>395</v>
      </c>
      <c r="D69" t="s">
        <v>396</v>
      </c>
      <c r="E69" t="s">
        <v>397</v>
      </c>
      <c r="F69" t="s">
        <v>398</v>
      </c>
      <c r="G69" t="s">
        <v>17</v>
      </c>
      <c r="H69" t="s">
        <v>399</v>
      </c>
      <c r="I69" t="s">
        <v>19</v>
      </c>
      <c r="J69" t="s">
        <v>87</v>
      </c>
      <c r="K69" t="s">
        <v>400</v>
      </c>
      <c r="L69" s="2" t="s">
        <v>1029</v>
      </c>
      <c r="M69" t="s">
        <v>874</v>
      </c>
    </row>
    <row r="70" spans="1:14" x14ac:dyDescent="0.3">
      <c r="A70" t="s">
        <v>447</v>
      </c>
      <c r="B70" t="s">
        <v>448</v>
      </c>
      <c r="C70" t="s">
        <v>449</v>
      </c>
      <c r="D70" t="s">
        <v>450</v>
      </c>
      <c r="F70" t="s">
        <v>451</v>
      </c>
      <c r="G70" t="s">
        <v>17</v>
      </c>
      <c r="H70" t="s">
        <v>452</v>
      </c>
      <c r="I70" t="s">
        <v>19</v>
      </c>
      <c r="J70" t="s">
        <v>391</v>
      </c>
      <c r="K70" t="s">
        <v>453</v>
      </c>
      <c r="L70" s="2" t="s">
        <v>1029</v>
      </c>
      <c r="M70" t="s">
        <v>874</v>
      </c>
    </row>
    <row r="71" spans="1:14" x14ac:dyDescent="0.3">
      <c r="A71" t="s">
        <v>454</v>
      </c>
      <c r="B71" t="s">
        <v>455</v>
      </c>
      <c r="C71" t="s">
        <v>456</v>
      </c>
      <c r="D71" t="s">
        <v>457</v>
      </c>
      <c r="F71" t="s">
        <v>458</v>
      </c>
      <c r="G71" t="s">
        <v>17</v>
      </c>
      <c r="H71" t="s">
        <v>459</v>
      </c>
      <c r="I71" t="s">
        <v>19</v>
      </c>
      <c r="J71" t="s">
        <v>391</v>
      </c>
      <c r="K71" t="s">
        <v>453</v>
      </c>
      <c r="L71" s="2" t="s">
        <v>1029</v>
      </c>
      <c r="M71" t="s">
        <v>874</v>
      </c>
    </row>
    <row r="72" spans="1:14" x14ac:dyDescent="0.3">
      <c r="A72" t="s">
        <v>475</v>
      </c>
      <c r="B72" t="s">
        <v>476</v>
      </c>
      <c r="C72" t="s">
        <v>477</v>
      </c>
      <c r="D72" t="s">
        <v>478</v>
      </c>
      <c r="F72" t="s">
        <v>479</v>
      </c>
      <c r="G72" t="s">
        <v>17</v>
      </c>
      <c r="H72" t="s">
        <v>480</v>
      </c>
      <c r="I72" t="s">
        <v>481</v>
      </c>
      <c r="J72" t="s">
        <v>391</v>
      </c>
      <c r="K72" t="s">
        <v>453</v>
      </c>
      <c r="L72" s="2" t="s">
        <v>1029</v>
      </c>
      <c r="M72" t="s">
        <v>874</v>
      </c>
    </row>
    <row r="73" spans="1:14" x14ac:dyDescent="0.3">
      <c r="A73" t="s">
        <v>687</v>
      </c>
      <c r="B73" t="s">
        <v>688</v>
      </c>
      <c r="C73" t="s">
        <v>689</v>
      </c>
      <c r="D73" t="s">
        <v>690</v>
      </c>
      <c r="F73" t="s">
        <v>691</v>
      </c>
      <c r="G73" t="s">
        <v>692</v>
      </c>
      <c r="H73" t="s">
        <v>693</v>
      </c>
      <c r="I73" t="s">
        <v>294</v>
      </c>
      <c r="J73" t="s">
        <v>61</v>
      </c>
      <c r="K73" t="s">
        <v>694</v>
      </c>
      <c r="L73" s="2" t="s">
        <v>1029</v>
      </c>
      <c r="M73" t="s">
        <v>873</v>
      </c>
    </row>
    <row r="74" spans="1:14" x14ac:dyDescent="0.3">
      <c r="A74" t="s">
        <v>778</v>
      </c>
      <c r="B74" t="s">
        <v>779</v>
      </c>
      <c r="C74" t="s">
        <v>780</v>
      </c>
      <c r="D74" t="s">
        <v>781</v>
      </c>
      <c r="E74" t="s">
        <v>15</v>
      </c>
      <c r="F74" t="s">
        <v>782</v>
      </c>
      <c r="G74" t="s">
        <v>17</v>
      </c>
      <c r="H74" t="s">
        <v>783</v>
      </c>
      <c r="I74" t="s">
        <v>19</v>
      </c>
      <c r="J74" t="s">
        <v>20</v>
      </c>
      <c r="K74" t="s">
        <v>21</v>
      </c>
      <c r="L74" s="2" t="s">
        <v>1029</v>
      </c>
      <c r="M74" t="s">
        <v>996</v>
      </c>
    </row>
    <row r="75" spans="1:14" x14ac:dyDescent="0.3">
      <c r="A75" t="s">
        <v>784</v>
      </c>
      <c r="B75" t="s">
        <v>785</v>
      </c>
      <c r="C75" t="s">
        <v>786</v>
      </c>
      <c r="D75" t="s">
        <v>787</v>
      </c>
      <c r="F75" t="s">
        <v>788</v>
      </c>
      <c r="G75" t="s">
        <v>27</v>
      </c>
      <c r="H75" t="s">
        <v>789</v>
      </c>
      <c r="I75" t="s">
        <v>19</v>
      </c>
      <c r="J75" t="s">
        <v>29</v>
      </c>
      <c r="K75" t="s">
        <v>30</v>
      </c>
      <c r="L75" s="1" t="s">
        <v>1029</v>
      </c>
      <c r="M75" t="s">
        <v>996</v>
      </c>
    </row>
    <row r="76" spans="1:14" x14ac:dyDescent="0.3">
      <c r="A76" t="s">
        <v>811</v>
      </c>
      <c r="B76" t="s">
        <v>812</v>
      </c>
      <c r="C76" t="s">
        <v>813</v>
      </c>
      <c r="D76" t="s">
        <v>814</v>
      </c>
      <c r="E76" t="s">
        <v>815</v>
      </c>
      <c r="F76" t="s">
        <v>816</v>
      </c>
      <c r="G76" t="s">
        <v>17</v>
      </c>
      <c r="H76" t="s">
        <v>817</v>
      </c>
      <c r="I76" t="s">
        <v>19</v>
      </c>
      <c r="J76" t="s">
        <v>20</v>
      </c>
      <c r="K76" t="s">
        <v>818</v>
      </c>
      <c r="L76" s="1"/>
      <c r="M76" t="s">
        <v>880</v>
      </c>
      <c r="N76" t="s">
        <v>880</v>
      </c>
    </row>
    <row r="77" spans="1:14" x14ac:dyDescent="0.3">
      <c r="A77" t="s">
        <v>819</v>
      </c>
      <c r="B77" t="s">
        <v>820</v>
      </c>
      <c r="C77" t="s">
        <v>821</v>
      </c>
      <c r="D77" t="s">
        <v>822</v>
      </c>
      <c r="E77" t="s">
        <v>823</v>
      </c>
      <c r="F77" t="s">
        <v>824</v>
      </c>
      <c r="G77" t="s">
        <v>17</v>
      </c>
      <c r="H77" t="s">
        <v>825</v>
      </c>
      <c r="I77" t="s">
        <v>19</v>
      </c>
      <c r="J77" t="s">
        <v>20</v>
      </c>
      <c r="K77" t="s">
        <v>826</v>
      </c>
      <c r="L77" s="1"/>
      <c r="M77" t="s">
        <v>880</v>
      </c>
      <c r="N77" t="s">
        <v>880</v>
      </c>
    </row>
    <row r="78" spans="1:14" x14ac:dyDescent="0.3">
      <c r="A78" t="s">
        <v>460</v>
      </c>
      <c r="B78" t="s">
        <v>461</v>
      </c>
      <c r="C78" t="s">
        <v>462</v>
      </c>
      <c r="D78" t="s">
        <v>463</v>
      </c>
      <c r="E78" t="s">
        <v>464</v>
      </c>
      <c r="F78" t="s">
        <v>465</v>
      </c>
      <c r="G78" t="s">
        <v>17</v>
      </c>
      <c r="H78" t="s">
        <v>466</v>
      </c>
      <c r="I78" t="s">
        <v>53</v>
      </c>
      <c r="K78" t="s">
        <v>467</v>
      </c>
      <c r="L78" s="1" t="s">
        <v>1021</v>
      </c>
      <c r="M78" t="s">
        <v>1009</v>
      </c>
    </row>
    <row r="79" spans="1:14" x14ac:dyDescent="0.3">
      <c r="A79" t="s">
        <v>468</v>
      </c>
      <c r="B79" t="s">
        <v>469</v>
      </c>
      <c r="C79" t="s">
        <v>470</v>
      </c>
      <c r="D79" t="s">
        <v>471</v>
      </c>
      <c r="E79" t="s">
        <v>464</v>
      </c>
      <c r="F79" t="s">
        <v>472</v>
      </c>
      <c r="G79" t="s">
        <v>17</v>
      </c>
      <c r="H79" t="s">
        <v>473</v>
      </c>
      <c r="I79" t="s">
        <v>53</v>
      </c>
      <c r="J79" t="s">
        <v>87</v>
      </c>
      <c r="K79" t="s">
        <v>474</v>
      </c>
      <c r="L79" s="1" t="s">
        <v>1021</v>
      </c>
      <c r="M79" t="s">
        <v>1009</v>
      </c>
    </row>
    <row r="80" spans="1:14" x14ac:dyDescent="0.3">
      <c r="A80" t="s">
        <v>835</v>
      </c>
      <c r="B80" t="s">
        <v>836</v>
      </c>
      <c r="C80" t="s">
        <v>837</v>
      </c>
      <c r="D80" t="s">
        <v>838</v>
      </c>
      <c r="E80" t="s">
        <v>839</v>
      </c>
      <c r="F80" t="s">
        <v>840</v>
      </c>
      <c r="G80" t="s">
        <v>17</v>
      </c>
      <c r="H80" t="s">
        <v>841</v>
      </c>
      <c r="I80" t="s">
        <v>53</v>
      </c>
      <c r="K80" t="s">
        <v>842</v>
      </c>
      <c r="L80" s="1" t="s">
        <v>1021</v>
      </c>
      <c r="M80" t="s">
        <v>1010</v>
      </c>
    </row>
    <row r="81" spans="1:13" x14ac:dyDescent="0.3">
      <c r="A81" t="s">
        <v>850</v>
      </c>
      <c r="B81" t="s">
        <v>851</v>
      </c>
      <c r="C81" t="s">
        <v>852</v>
      </c>
      <c r="D81" t="s">
        <v>853</v>
      </c>
      <c r="E81" t="e">
        <f>-LOG(mol/l)</f>
        <v>#NAME?</v>
      </c>
      <c r="F81" t="s">
        <v>854</v>
      </c>
      <c r="G81" t="s">
        <v>17</v>
      </c>
      <c r="H81" t="s">
        <v>855</v>
      </c>
      <c r="I81" t="s">
        <v>112</v>
      </c>
      <c r="J81" t="s">
        <v>20</v>
      </c>
      <c r="K81" t="s">
        <v>856</v>
      </c>
      <c r="L81" s="1" t="s">
        <v>1021</v>
      </c>
      <c r="M81" t="s">
        <v>1011</v>
      </c>
    </row>
    <row r="82" spans="1:13" x14ac:dyDescent="0.3">
      <c r="A82" t="s">
        <v>401</v>
      </c>
      <c r="B82" t="s">
        <v>402</v>
      </c>
      <c r="C82" t="s">
        <v>403</v>
      </c>
      <c r="D82" t="s">
        <v>404</v>
      </c>
      <c r="E82" t="s">
        <v>405</v>
      </c>
      <c r="F82" t="s">
        <v>406</v>
      </c>
      <c r="G82" t="s">
        <v>17</v>
      </c>
      <c r="H82" t="s">
        <v>407</v>
      </c>
      <c r="I82" t="s">
        <v>19</v>
      </c>
      <c r="J82" t="s">
        <v>87</v>
      </c>
      <c r="K82" t="s">
        <v>408</v>
      </c>
      <c r="L82" s="1" t="s">
        <v>866</v>
      </c>
      <c r="M82" t="s">
        <v>878</v>
      </c>
    </row>
    <row r="83" spans="1:13" x14ac:dyDescent="0.3">
      <c r="A83" t="s">
        <v>581</v>
      </c>
      <c r="B83" t="s">
        <v>582</v>
      </c>
      <c r="C83" t="s">
        <v>583</v>
      </c>
      <c r="D83" t="s">
        <v>584</v>
      </c>
      <c r="E83" t="s">
        <v>585</v>
      </c>
      <c r="F83" t="s">
        <v>586</v>
      </c>
      <c r="G83" t="s">
        <v>17</v>
      </c>
      <c r="H83" t="s">
        <v>587</v>
      </c>
      <c r="I83" t="s">
        <v>19</v>
      </c>
      <c r="J83" t="s">
        <v>20</v>
      </c>
      <c r="K83" t="s">
        <v>588</v>
      </c>
      <c r="L83" s="1" t="s">
        <v>866</v>
      </c>
      <c r="M83" t="s">
        <v>879</v>
      </c>
    </row>
    <row r="84" spans="1:13" x14ac:dyDescent="0.3">
      <c r="A84" t="s">
        <v>589</v>
      </c>
      <c r="B84" t="s">
        <v>590</v>
      </c>
      <c r="C84" t="s">
        <v>591</v>
      </c>
      <c r="D84" t="s">
        <v>592</v>
      </c>
      <c r="E84" t="s">
        <v>380</v>
      </c>
      <c r="F84" t="s">
        <v>593</v>
      </c>
      <c r="G84" t="s">
        <v>17</v>
      </c>
      <c r="H84" t="s">
        <v>594</v>
      </c>
      <c r="I84" t="s">
        <v>19</v>
      </c>
      <c r="J84" t="s">
        <v>20</v>
      </c>
      <c r="K84" t="s">
        <v>595</v>
      </c>
      <c r="L84" s="1" t="s">
        <v>866</v>
      </c>
      <c r="M84" t="s">
        <v>877</v>
      </c>
    </row>
    <row r="85" spans="1:13" x14ac:dyDescent="0.3">
      <c r="A85" t="s">
        <v>596</v>
      </c>
      <c r="B85" t="s">
        <v>597</v>
      </c>
      <c r="C85" t="s">
        <v>598</v>
      </c>
      <c r="D85" t="s">
        <v>599</v>
      </c>
      <c r="F85" t="s">
        <v>600</v>
      </c>
      <c r="G85" t="s">
        <v>601</v>
      </c>
      <c r="H85" t="s">
        <v>602</v>
      </c>
      <c r="I85" t="s">
        <v>19</v>
      </c>
      <c r="J85" t="s">
        <v>603</v>
      </c>
      <c r="K85" t="s">
        <v>604</v>
      </c>
      <c r="L85" s="1" t="s">
        <v>866</v>
      </c>
      <c r="M85" t="s">
        <v>881</v>
      </c>
    </row>
    <row r="86" spans="1:13" x14ac:dyDescent="0.3">
      <c r="A86" t="s">
        <v>605</v>
      </c>
      <c r="B86" t="s">
        <v>606</v>
      </c>
      <c r="C86" t="s">
        <v>607</v>
      </c>
      <c r="D86" t="s">
        <v>608</v>
      </c>
      <c r="E86" t="s">
        <v>380</v>
      </c>
      <c r="F86" t="s">
        <v>609</v>
      </c>
      <c r="G86" t="s">
        <v>17</v>
      </c>
      <c r="H86" t="s">
        <v>610</v>
      </c>
      <c r="I86" t="s">
        <v>19</v>
      </c>
      <c r="J86" t="s">
        <v>20</v>
      </c>
      <c r="K86" t="s">
        <v>595</v>
      </c>
      <c r="L86" s="1" t="s">
        <v>866</v>
      </c>
      <c r="M86" t="s">
        <v>881</v>
      </c>
    </row>
    <row r="87" spans="1:13" x14ac:dyDescent="0.3">
      <c r="A87" t="s">
        <v>611</v>
      </c>
      <c r="B87" t="s">
        <v>612</v>
      </c>
      <c r="C87" t="s">
        <v>613</v>
      </c>
      <c r="D87" t="s">
        <v>614</v>
      </c>
      <c r="F87" t="s">
        <v>615</v>
      </c>
      <c r="G87" t="s">
        <v>601</v>
      </c>
      <c r="H87" t="s">
        <v>616</v>
      </c>
      <c r="I87" t="s">
        <v>19</v>
      </c>
      <c r="J87" t="s">
        <v>603</v>
      </c>
      <c r="K87" t="s">
        <v>617</v>
      </c>
      <c r="L87" s="1" t="s">
        <v>866</v>
      </c>
      <c r="M87" t="s">
        <v>882</v>
      </c>
    </row>
    <row r="88" spans="1:13" x14ac:dyDescent="0.3">
      <c r="A88" t="s">
        <v>618</v>
      </c>
      <c r="B88" t="s">
        <v>619</v>
      </c>
      <c r="C88" t="s">
        <v>620</v>
      </c>
      <c r="D88" t="s">
        <v>621</v>
      </c>
      <c r="E88" t="s">
        <v>380</v>
      </c>
      <c r="F88" t="s">
        <v>622</v>
      </c>
      <c r="G88" t="s">
        <v>17</v>
      </c>
      <c r="H88" t="s">
        <v>623</v>
      </c>
      <c r="I88" t="s">
        <v>19</v>
      </c>
      <c r="J88" t="s">
        <v>20</v>
      </c>
      <c r="K88" t="s">
        <v>595</v>
      </c>
      <c r="L88" s="1" t="s">
        <v>866</v>
      </c>
      <c r="M88" t="s">
        <v>882</v>
      </c>
    </row>
    <row r="89" spans="1:13" x14ac:dyDescent="0.3">
      <c r="A89" t="s">
        <v>624</v>
      </c>
      <c r="B89" t="s">
        <v>625</v>
      </c>
      <c r="C89" t="s">
        <v>626</v>
      </c>
      <c r="D89" t="s">
        <v>627</v>
      </c>
      <c r="F89" t="s">
        <v>628</v>
      </c>
      <c r="G89" t="s">
        <v>601</v>
      </c>
      <c r="H89" t="s">
        <v>629</v>
      </c>
      <c r="I89" t="s">
        <v>19</v>
      </c>
      <c r="J89" t="s">
        <v>603</v>
      </c>
      <c r="K89" t="s">
        <v>630</v>
      </c>
      <c r="L89" s="1" t="s">
        <v>866</v>
      </c>
      <c r="M89" t="s">
        <v>877</v>
      </c>
    </row>
    <row r="90" spans="1:13" x14ac:dyDescent="0.3">
      <c r="A90" t="s">
        <v>232</v>
      </c>
      <c r="B90" t="s">
        <v>233</v>
      </c>
      <c r="C90" t="s">
        <v>234</v>
      </c>
      <c r="D90" t="s">
        <v>235</v>
      </c>
      <c r="F90" t="s">
        <v>236</v>
      </c>
      <c r="G90" t="s">
        <v>237</v>
      </c>
      <c r="H90" t="s">
        <v>238</v>
      </c>
      <c r="I90" t="s">
        <v>239</v>
      </c>
      <c r="J90" t="s">
        <v>29</v>
      </c>
      <c r="K90" t="s">
        <v>240</v>
      </c>
      <c r="L90" s="1" t="s">
        <v>1024</v>
      </c>
      <c r="M90" t="s">
        <v>999</v>
      </c>
    </row>
    <row r="91" spans="1:13" x14ac:dyDescent="0.3">
      <c r="A91" t="s">
        <v>241</v>
      </c>
      <c r="B91" t="s">
        <v>242</v>
      </c>
      <c r="C91" t="s">
        <v>243</v>
      </c>
      <c r="D91" t="s">
        <v>244</v>
      </c>
      <c r="F91" t="s">
        <v>245</v>
      </c>
      <c r="G91" t="s">
        <v>246</v>
      </c>
      <c r="H91" t="s">
        <v>247</v>
      </c>
      <c r="I91" t="s">
        <v>248</v>
      </c>
      <c r="J91" t="s">
        <v>61</v>
      </c>
      <c r="K91" t="s">
        <v>249</v>
      </c>
      <c r="L91" s="1" t="s">
        <v>1024</v>
      </c>
      <c r="M91" t="s">
        <v>999</v>
      </c>
    </row>
    <row r="92" spans="1:13" x14ac:dyDescent="0.3">
      <c r="A92" t="s">
        <v>257</v>
      </c>
      <c r="B92" t="s">
        <v>258</v>
      </c>
      <c r="C92" t="s">
        <v>259</v>
      </c>
      <c r="D92" t="s">
        <v>260</v>
      </c>
      <c r="F92" t="s">
        <v>261</v>
      </c>
      <c r="G92" t="s">
        <v>262</v>
      </c>
      <c r="H92" t="s">
        <v>263</v>
      </c>
      <c r="I92" t="s">
        <v>53</v>
      </c>
      <c r="K92" t="s">
        <v>264</v>
      </c>
      <c r="L92" s="2" t="s">
        <v>1024</v>
      </c>
      <c r="M92" t="s">
        <v>1000</v>
      </c>
    </row>
    <row r="93" spans="1:13" x14ac:dyDescent="0.3">
      <c r="A93" t="s">
        <v>718</v>
      </c>
      <c r="B93" t="s">
        <v>719</v>
      </c>
      <c r="C93" t="s">
        <v>720</v>
      </c>
      <c r="D93" t="s">
        <v>721</v>
      </c>
      <c r="F93" t="s">
        <v>722</v>
      </c>
      <c r="G93" t="s">
        <v>700</v>
      </c>
      <c r="H93" t="s">
        <v>723</v>
      </c>
      <c r="I93" t="s">
        <v>53</v>
      </c>
      <c r="K93" t="s">
        <v>724</v>
      </c>
      <c r="L93" s="4" t="s">
        <v>1030</v>
      </c>
      <c r="M93" t="s">
        <v>1004</v>
      </c>
    </row>
    <row r="94" spans="1:13" x14ac:dyDescent="0.3">
      <c r="A94" t="s">
        <v>725</v>
      </c>
      <c r="B94" t="s">
        <v>726</v>
      </c>
      <c r="C94" t="s">
        <v>727</v>
      </c>
      <c r="D94" t="s">
        <v>728</v>
      </c>
      <c r="F94" t="s">
        <v>729</v>
      </c>
      <c r="G94" t="s">
        <v>730</v>
      </c>
      <c r="H94" t="s">
        <v>731</v>
      </c>
      <c r="I94" t="s">
        <v>53</v>
      </c>
      <c r="J94" t="s">
        <v>61</v>
      </c>
      <c r="K94" t="s">
        <v>732</v>
      </c>
      <c r="L94" s="4" t="s">
        <v>1030</v>
      </c>
      <c r="M94" t="s">
        <v>1004</v>
      </c>
    </row>
    <row r="95" spans="1:13" x14ac:dyDescent="0.3">
      <c r="A95" t="s">
        <v>733</v>
      </c>
      <c r="B95" t="s">
        <v>734</v>
      </c>
      <c r="C95" t="s">
        <v>735</v>
      </c>
      <c r="D95" t="s">
        <v>736</v>
      </c>
      <c r="F95" t="s">
        <v>737</v>
      </c>
      <c r="G95" t="s">
        <v>285</v>
      </c>
      <c r="H95" t="s">
        <v>738</v>
      </c>
      <c r="I95" t="s">
        <v>53</v>
      </c>
      <c r="J95" t="s">
        <v>61</v>
      </c>
      <c r="K95" t="s">
        <v>739</v>
      </c>
      <c r="L95" s="4" t="s">
        <v>1030</v>
      </c>
      <c r="M95" t="s">
        <v>1004</v>
      </c>
    </row>
    <row r="96" spans="1:13" x14ac:dyDescent="0.3">
      <c r="A96" t="s">
        <v>695</v>
      </c>
      <c r="B96" t="s">
        <v>696</v>
      </c>
      <c r="C96" t="s">
        <v>697</v>
      </c>
      <c r="D96" t="s">
        <v>698</v>
      </c>
      <c r="F96" t="s">
        <v>699</v>
      </c>
      <c r="G96" t="s">
        <v>700</v>
      </c>
      <c r="H96" t="s">
        <v>701</v>
      </c>
      <c r="I96" t="s">
        <v>702</v>
      </c>
      <c r="J96" t="s">
        <v>29</v>
      </c>
      <c r="K96" t="s">
        <v>703</v>
      </c>
      <c r="L96" s="4" t="s">
        <v>1025</v>
      </c>
      <c r="M96" t="s">
        <v>1005</v>
      </c>
    </row>
    <row r="97" spans="1:14" x14ac:dyDescent="0.3">
      <c r="A97" t="s">
        <v>711</v>
      </c>
      <c r="B97" t="s">
        <v>712</v>
      </c>
      <c r="C97" t="s">
        <v>713</v>
      </c>
      <c r="D97" t="s">
        <v>714</v>
      </c>
      <c r="F97" t="s">
        <v>715</v>
      </c>
      <c r="G97" t="s">
        <v>700</v>
      </c>
      <c r="H97" t="s">
        <v>716</v>
      </c>
      <c r="I97" t="s">
        <v>19</v>
      </c>
      <c r="J97" t="s">
        <v>29</v>
      </c>
      <c r="K97" t="s">
        <v>717</v>
      </c>
      <c r="L97" s="4" t="s">
        <v>1025</v>
      </c>
      <c r="M97" t="s">
        <v>1005</v>
      </c>
    </row>
    <row r="98" spans="1:14" x14ac:dyDescent="0.3">
      <c r="A98" t="s">
        <v>704</v>
      </c>
      <c r="B98" t="s">
        <v>705</v>
      </c>
      <c r="C98" t="s">
        <v>706</v>
      </c>
      <c r="D98" t="s">
        <v>707</v>
      </c>
      <c r="F98" t="s">
        <v>708</v>
      </c>
      <c r="G98" t="s">
        <v>700</v>
      </c>
      <c r="H98" t="s">
        <v>709</v>
      </c>
      <c r="I98" t="s">
        <v>19</v>
      </c>
      <c r="J98" t="s">
        <v>29</v>
      </c>
      <c r="K98" t="s">
        <v>710</v>
      </c>
      <c r="L98" s="4" t="s">
        <v>1025</v>
      </c>
      <c r="M98" t="s">
        <v>1005</v>
      </c>
    </row>
    <row r="99" spans="1:14" x14ac:dyDescent="0.3">
      <c r="A99" t="s">
        <v>754</v>
      </c>
      <c r="B99" t="s">
        <v>755</v>
      </c>
      <c r="C99" t="s">
        <v>756</v>
      </c>
      <c r="D99" t="s">
        <v>757</v>
      </c>
      <c r="F99" t="s">
        <v>758</v>
      </c>
      <c r="G99" t="s">
        <v>759</v>
      </c>
      <c r="H99" t="s">
        <v>760</v>
      </c>
      <c r="I99" t="s">
        <v>53</v>
      </c>
      <c r="K99" t="s">
        <v>761</v>
      </c>
      <c r="L99" s="4" t="s">
        <v>1025</v>
      </c>
      <c r="M99" t="s">
        <v>1005</v>
      </c>
    </row>
    <row r="100" spans="1:14" x14ac:dyDescent="0.3">
      <c r="A100" t="s">
        <v>762</v>
      </c>
      <c r="B100" t="s">
        <v>763</v>
      </c>
      <c r="C100" t="s">
        <v>764</v>
      </c>
      <c r="D100" t="s">
        <v>765</v>
      </c>
      <c r="F100" t="s">
        <v>766</v>
      </c>
      <c r="G100" t="s">
        <v>767</v>
      </c>
      <c r="H100" t="s">
        <v>768</v>
      </c>
      <c r="I100" t="s">
        <v>53</v>
      </c>
      <c r="J100" t="s">
        <v>61</v>
      </c>
      <c r="K100" t="s">
        <v>769</v>
      </c>
      <c r="L100" s="4" t="s">
        <v>1025</v>
      </c>
      <c r="M100" t="s">
        <v>1005</v>
      </c>
    </row>
    <row r="101" spans="1:14" x14ac:dyDescent="0.3">
      <c r="A101" t="s">
        <v>770</v>
      </c>
      <c r="B101" t="s">
        <v>771</v>
      </c>
      <c r="C101" t="s">
        <v>772</v>
      </c>
      <c r="D101" t="s">
        <v>773</v>
      </c>
      <c r="F101" t="s">
        <v>774</v>
      </c>
      <c r="G101" t="s">
        <v>775</v>
      </c>
      <c r="H101" t="s">
        <v>776</v>
      </c>
      <c r="I101" t="s">
        <v>53</v>
      </c>
      <c r="K101" t="s">
        <v>777</v>
      </c>
      <c r="L101" s="3" t="s">
        <v>1025</v>
      </c>
      <c r="M101" t="s">
        <v>1005</v>
      </c>
    </row>
    <row r="102" spans="1:14" x14ac:dyDescent="0.3">
      <c r="A102" t="s">
        <v>425</v>
      </c>
      <c r="B102" t="s">
        <v>426</v>
      </c>
      <c r="C102" t="s">
        <v>427</v>
      </c>
      <c r="D102" t="s">
        <v>428</v>
      </c>
      <c r="E102" t="s">
        <v>421</v>
      </c>
      <c r="F102" t="s">
        <v>429</v>
      </c>
      <c r="G102" t="s">
        <v>17</v>
      </c>
      <c r="H102" t="s">
        <v>430</v>
      </c>
      <c r="I102" t="s">
        <v>53</v>
      </c>
      <c r="J102" t="s">
        <v>20</v>
      </c>
      <c r="K102" t="s">
        <v>431</v>
      </c>
      <c r="L102" s="1" t="s">
        <v>1017</v>
      </c>
      <c r="M102" t="s">
        <v>1015</v>
      </c>
    </row>
    <row r="103" spans="1:14" x14ac:dyDescent="0.3">
      <c r="A103" t="s">
        <v>432</v>
      </c>
      <c r="B103" t="s">
        <v>433</v>
      </c>
      <c r="C103" t="s">
        <v>434</v>
      </c>
      <c r="D103" t="s">
        <v>435</v>
      </c>
      <c r="E103" t="s">
        <v>436</v>
      </c>
      <c r="F103" t="s">
        <v>437</v>
      </c>
      <c r="G103" t="s">
        <v>17</v>
      </c>
      <c r="H103" t="s">
        <v>438</v>
      </c>
      <c r="I103" t="s">
        <v>19</v>
      </c>
      <c r="J103" t="s">
        <v>87</v>
      </c>
      <c r="K103" t="s">
        <v>439</v>
      </c>
      <c r="L103" s="1" t="s">
        <v>1017</v>
      </c>
      <c r="M103" t="s">
        <v>1015</v>
      </c>
    </row>
    <row r="104" spans="1:14" x14ac:dyDescent="0.3">
      <c r="A104" t="s">
        <v>417</v>
      </c>
      <c r="B104" t="s">
        <v>418</v>
      </c>
      <c r="C104" t="s">
        <v>419</v>
      </c>
      <c r="D104" t="s">
        <v>420</v>
      </c>
      <c r="E104" t="s">
        <v>421</v>
      </c>
      <c r="F104" t="s">
        <v>422</v>
      </c>
      <c r="G104" t="s">
        <v>17</v>
      </c>
      <c r="H104" t="s">
        <v>423</v>
      </c>
      <c r="I104" t="s">
        <v>112</v>
      </c>
      <c r="J104" t="s">
        <v>20</v>
      </c>
      <c r="K104" t="s">
        <v>424</v>
      </c>
      <c r="L104" s="1" t="s">
        <v>1017</v>
      </c>
      <c r="M104" t="s">
        <v>1015</v>
      </c>
    </row>
    <row r="105" spans="1:14" x14ac:dyDescent="0.3">
      <c r="A105" t="s">
        <v>560</v>
      </c>
      <c r="B105" t="s">
        <v>561</v>
      </c>
      <c r="C105" t="s">
        <v>562</v>
      </c>
      <c r="D105" t="s">
        <v>563</v>
      </c>
      <c r="E105" t="s">
        <v>421</v>
      </c>
      <c r="F105" t="s">
        <v>564</v>
      </c>
      <c r="G105" t="s">
        <v>17</v>
      </c>
      <c r="H105" t="s">
        <v>565</v>
      </c>
      <c r="I105" t="s">
        <v>53</v>
      </c>
      <c r="J105" t="s">
        <v>20</v>
      </c>
      <c r="K105" t="s">
        <v>566</v>
      </c>
      <c r="L105" s="1" t="s">
        <v>1017</v>
      </c>
      <c r="M105" t="s">
        <v>1015</v>
      </c>
    </row>
    <row r="106" spans="1:14" x14ac:dyDescent="0.3">
      <c r="A106" t="s">
        <v>567</v>
      </c>
      <c r="B106" t="s">
        <v>568</v>
      </c>
      <c r="C106" t="s">
        <v>569</v>
      </c>
      <c r="D106" t="s">
        <v>570</v>
      </c>
      <c r="E106" t="e">
        <f>-LOG(mg/kg)</f>
        <v>#NAME?</v>
      </c>
      <c r="F106" t="s">
        <v>571</v>
      </c>
      <c r="G106" t="s">
        <v>17</v>
      </c>
      <c r="H106" t="s">
        <v>572</v>
      </c>
      <c r="I106" t="s">
        <v>19</v>
      </c>
      <c r="J106" t="s">
        <v>20</v>
      </c>
      <c r="K106" t="s">
        <v>573</v>
      </c>
      <c r="L106" s="1" t="s">
        <v>1017</v>
      </c>
      <c r="M106" t="s">
        <v>1015</v>
      </c>
    </row>
    <row r="107" spans="1:14" x14ac:dyDescent="0.3">
      <c r="A107" t="s">
        <v>553</v>
      </c>
      <c r="B107" t="s">
        <v>554</v>
      </c>
      <c r="C107" t="s">
        <v>555</v>
      </c>
      <c r="D107" t="s">
        <v>556</v>
      </c>
      <c r="E107" t="s">
        <v>421</v>
      </c>
      <c r="F107" t="s">
        <v>557</v>
      </c>
      <c r="G107" t="s">
        <v>17</v>
      </c>
      <c r="H107" t="s">
        <v>558</v>
      </c>
      <c r="I107" t="s">
        <v>112</v>
      </c>
      <c r="J107" t="s">
        <v>20</v>
      </c>
      <c r="K107" t="s">
        <v>559</v>
      </c>
      <c r="L107" s="1" t="s">
        <v>1017</v>
      </c>
      <c r="M107" t="s">
        <v>1015</v>
      </c>
    </row>
    <row r="108" spans="1:14" x14ac:dyDescent="0.3">
      <c r="A108" t="s">
        <v>189</v>
      </c>
      <c r="B108" t="s">
        <v>190</v>
      </c>
      <c r="C108" t="s">
        <v>191</v>
      </c>
      <c r="D108" t="s">
        <v>192</v>
      </c>
      <c r="F108" t="s">
        <v>193</v>
      </c>
      <c r="G108" t="s">
        <v>17</v>
      </c>
      <c r="H108" t="s">
        <v>194</v>
      </c>
      <c r="I108" t="s">
        <v>19</v>
      </c>
      <c r="K108" t="s">
        <v>195</v>
      </c>
      <c r="L108" s="1" t="s">
        <v>1016</v>
      </c>
      <c r="M108" t="s">
        <v>1013</v>
      </c>
    </row>
    <row r="109" spans="1:14" x14ac:dyDescent="0.3">
      <c r="A109" t="s">
        <v>368</v>
      </c>
      <c r="B109" t="s">
        <v>369</v>
      </c>
      <c r="C109" t="s">
        <v>370</v>
      </c>
      <c r="D109" t="s">
        <v>371</v>
      </c>
      <c r="F109" t="s">
        <v>372</v>
      </c>
      <c r="G109" t="s">
        <v>373</v>
      </c>
      <c r="H109" t="s">
        <v>374</v>
      </c>
      <c r="I109" t="s">
        <v>19</v>
      </c>
      <c r="J109" t="s">
        <v>61</v>
      </c>
      <c r="K109" t="s">
        <v>375</v>
      </c>
      <c r="L109" s="1" t="s">
        <v>1016</v>
      </c>
      <c r="M109" t="s">
        <v>1013</v>
      </c>
    </row>
    <row r="110" spans="1:14" x14ac:dyDescent="0.3">
      <c r="A110" t="s">
        <v>409</v>
      </c>
      <c r="B110" t="s">
        <v>410</v>
      </c>
      <c r="C110" t="s">
        <v>411</v>
      </c>
      <c r="D110" t="s">
        <v>412</v>
      </c>
      <c r="E110" t="s">
        <v>413</v>
      </c>
      <c r="F110" t="s">
        <v>414</v>
      </c>
      <c r="G110" t="s">
        <v>17</v>
      </c>
      <c r="H110" t="s">
        <v>415</v>
      </c>
      <c r="I110" t="s">
        <v>53</v>
      </c>
      <c r="J110" t="s">
        <v>87</v>
      </c>
      <c r="K110" t="s">
        <v>416</v>
      </c>
      <c r="L110" s="1" t="s">
        <v>1016</v>
      </c>
      <c r="M110" t="s">
        <v>1013</v>
      </c>
    </row>
    <row r="111" spans="1:14" x14ac:dyDescent="0.3">
      <c r="A111" t="s">
        <v>740</v>
      </c>
      <c r="B111" t="s">
        <v>741</v>
      </c>
      <c r="C111" t="s">
        <v>742</v>
      </c>
      <c r="D111" t="s">
        <v>743</v>
      </c>
      <c r="E111" t="s">
        <v>744</v>
      </c>
      <c r="F111" t="s">
        <v>745</v>
      </c>
      <c r="G111" t="s">
        <v>17</v>
      </c>
      <c r="H111" t="s">
        <v>746</v>
      </c>
      <c r="I111" t="s">
        <v>19</v>
      </c>
      <c r="J111" t="s">
        <v>20</v>
      </c>
      <c r="K111" t="s">
        <v>747</v>
      </c>
      <c r="L111" s="1" t="s">
        <v>1016</v>
      </c>
      <c r="M111" t="s">
        <v>1014</v>
      </c>
      <c r="N111" t="s">
        <v>1006</v>
      </c>
    </row>
    <row r="112" spans="1:14" x14ac:dyDescent="0.3">
      <c r="A112" t="s">
        <v>748</v>
      </c>
      <c r="B112" t="s">
        <v>749</v>
      </c>
      <c r="C112" t="s">
        <v>750</v>
      </c>
      <c r="D112" t="s">
        <v>751</v>
      </c>
      <c r="E112" t="s">
        <v>744</v>
      </c>
      <c r="F112" t="s">
        <v>752</v>
      </c>
      <c r="G112" t="s">
        <v>17</v>
      </c>
      <c r="H112" t="s">
        <v>753</v>
      </c>
      <c r="I112" t="s">
        <v>19</v>
      </c>
      <c r="J112" t="s">
        <v>20</v>
      </c>
      <c r="K112" t="s">
        <v>747</v>
      </c>
      <c r="L112" s="1" t="s">
        <v>1016</v>
      </c>
      <c r="M112" t="s">
        <v>1014</v>
      </c>
      <c r="N112" t="s">
        <v>1006</v>
      </c>
    </row>
    <row r="113" spans="1:14" x14ac:dyDescent="0.3">
      <c r="A113" t="s">
        <v>98</v>
      </c>
      <c r="B113" t="s">
        <v>99</v>
      </c>
      <c r="C113" t="s">
        <v>100</v>
      </c>
      <c r="D113" t="s">
        <v>101</v>
      </c>
      <c r="F113" t="s">
        <v>102</v>
      </c>
      <c r="G113" t="s">
        <v>1033</v>
      </c>
      <c r="H113" t="s">
        <v>103</v>
      </c>
      <c r="I113" t="s">
        <v>19</v>
      </c>
      <c r="J113" t="s">
        <v>61</v>
      </c>
      <c r="K113" t="s">
        <v>104</v>
      </c>
      <c r="L113" s="1" t="s">
        <v>1022</v>
      </c>
      <c r="M113" t="s">
        <v>997</v>
      </c>
      <c r="N113" t="s">
        <v>1020</v>
      </c>
    </row>
    <row r="114" spans="1:14" x14ac:dyDescent="0.3">
      <c r="A114" t="s">
        <v>250</v>
      </c>
      <c r="B114" t="s">
        <v>251</v>
      </c>
      <c r="C114" t="s">
        <v>252</v>
      </c>
      <c r="D114" t="s">
        <v>253</v>
      </c>
      <c r="E114" t="e">
        <f>-Log mg/kg</f>
        <v>#NAME?</v>
      </c>
      <c r="F114" t="s">
        <v>254</v>
      </c>
      <c r="G114" t="s">
        <v>17</v>
      </c>
      <c r="H114" t="s">
        <v>255</v>
      </c>
      <c r="I114" t="s">
        <v>53</v>
      </c>
      <c r="K114" t="s">
        <v>256</v>
      </c>
      <c r="L114" s="1" t="s">
        <v>1022</v>
      </c>
      <c r="M114" t="s">
        <v>1002</v>
      </c>
      <c r="N114" t="s">
        <v>1003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topLeftCell="A37" workbookViewId="0">
      <selection activeCell="B60" sqref="B60"/>
    </sheetView>
  </sheetViews>
  <sheetFormatPr defaultRowHeight="14.4" x14ac:dyDescent="0.3"/>
  <cols>
    <col min="2" max="2" width="38.44140625" customWidth="1"/>
  </cols>
  <sheetData>
    <row r="1" spans="1:2" x14ac:dyDescent="0.3">
      <c r="A1" t="s">
        <v>994</v>
      </c>
      <c r="B1" t="s">
        <v>995</v>
      </c>
    </row>
    <row r="2" spans="1:2" x14ac:dyDescent="0.3">
      <c r="A2" t="s">
        <v>883</v>
      </c>
      <c r="B2" t="s">
        <v>884</v>
      </c>
    </row>
    <row r="3" spans="1:2" x14ac:dyDescent="0.3">
      <c r="A3" t="s">
        <v>885</v>
      </c>
      <c r="B3" t="s">
        <v>886</v>
      </c>
    </row>
    <row r="4" spans="1:2" x14ac:dyDescent="0.3">
      <c r="A4" t="s">
        <v>887</v>
      </c>
      <c r="B4" t="s">
        <v>888</v>
      </c>
    </row>
    <row r="5" spans="1:2" x14ac:dyDescent="0.3">
      <c r="A5" t="s">
        <v>889</v>
      </c>
      <c r="B5" t="s">
        <v>890</v>
      </c>
    </row>
    <row r="6" spans="1:2" x14ac:dyDescent="0.3">
      <c r="A6" t="s">
        <v>891</v>
      </c>
      <c r="B6" t="s">
        <v>892</v>
      </c>
    </row>
    <row r="7" spans="1:2" x14ac:dyDescent="0.3">
      <c r="A7" t="s">
        <v>893</v>
      </c>
      <c r="B7" t="s">
        <v>894</v>
      </c>
    </row>
    <row r="8" spans="1:2" x14ac:dyDescent="0.3">
      <c r="A8" t="s">
        <v>895</v>
      </c>
      <c r="B8" t="s">
        <v>896</v>
      </c>
    </row>
    <row r="9" spans="1:2" x14ac:dyDescent="0.3">
      <c r="A9" t="s">
        <v>897</v>
      </c>
      <c r="B9" t="s">
        <v>898</v>
      </c>
    </row>
    <row r="10" spans="1:2" x14ac:dyDescent="0.3">
      <c r="A10" t="s">
        <v>899</v>
      </c>
      <c r="B10" t="s">
        <v>900</v>
      </c>
    </row>
    <row r="11" spans="1:2" x14ac:dyDescent="0.3">
      <c r="A11" t="s">
        <v>901</v>
      </c>
      <c r="B11" t="s">
        <v>902</v>
      </c>
    </row>
    <row r="12" spans="1:2" x14ac:dyDescent="0.3">
      <c r="A12" t="s">
        <v>903</v>
      </c>
      <c r="B12" t="s">
        <v>904</v>
      </c>
    </row>
    <row r="13" spans="1:2" x14ac:dyDescent="0.3">
      <c r="A13" t="s">
        <v>905</v>
      </c>
      <c r="B13" t="s">
        <v>906</v>
      </c>
    </row>
    <row r="14" spans="1:2" x14ac:dyDescent="0.3">
      <c r="A14" t="s">
        <v>907</v>
      </c>
      <c r="B14" t="s">
        <v>908</v>
      </c>
    </row>
    <row r="15" spans="1:2" x14ac:dyDescent="0.3">
      <c r="A15" t="s">
        <v>909</v>
      </c>
      <c r="B15" t="s">
        <v>910</v>
      </c>
    </row>
    <row r="16" spans="1:2" x14ac:dyDescent="0.3">
      <c r="A16" t="s">
        <v>911</v>
      </c>
      <c r="B16" t="s">
        <v>912</v>
      </c>
    </row>
    <row r="17" spans="1:2" x14ac:dyDescent="0.3">
      <c r="A17" t="s">
        <v>913</v>
      </c>
      <c r="B17" t="s">
        <v>914</v>
      </c>
    </row>
    <row r="18" spans="1:2" x14ac:dyDescent="0.3">
      <c r="A18" t="s">
        <v>915</v>
      </c>
      <c r="B18" t="s">
        <v>916</v>
      </c>
    </row>
    <row r="19" spans="1:2" x14ac:dyDescent="0.3">
      <c r="A19" t="s">
        <v>917</v>
      </c>
      <c r="B19" t="s">
        <v>918</v>
      </c>
    </row>
    <row r="20" spans="1:2" x14ac:dyDescent="0.3">
      <c r="A20" t="s">
        <v>919</v>
      </c>
      <c r="B20" t="s">
        <v>920</v>
      </c>
    </row>
    <row r="21" spans="1:2" x14ac:dyDescent="0.3">
      <c r="A21" t="s">
        <v>921</v>
      </c>
      <c r="B21" t="s">
        <v>922</v>
      </c>
    </row>
    <row r="22" spans="1:2" x14ac:dyDescent="0.3">
      <c r="A22" t="s">
        <v>923</v>
      </c>
      <c r="B22" t="s">
        <v>924</v>
      </c>
    </row>
    <row r="23" spans="1:2" x14ac:dyDescent="0.3">
      <c r="A23" t="s">
        <v>925</v>
      </c>
      <c r="B23" t="s">
        <v>926</v>
      </c>
    </row>
    <row r="24" spans="1:2" x14ac:dyDescent="0.3">
      <c r="A24" t="s">
        <v>927</v>
      </c>
      <c r="B24" t="s">
        <v>928</v>
      </c>
    </row>
    <row r="25" spans="1:2" x14ac:dyDescent="0.3">
      <c r="A25" t="s">
        <v>929</v>
      </c>
      <c r="B25" t="s">
        <v>930</v>
      </c>
    </row>
    <row r="26" spans="1:2" x14ac:dyDescent="0.3">
      <c r="A26" t="s">
        <v>931</v>
      </c>
      <c r="B26" t="s">
        <v>932</v>
      </c>
    </row>
    <row r="27" spans="1:2" x14ac:dyDescent="0.3">
      <c r="A27" t="s">
        <v>933</v>
      </c>
      <c r="B27" t="s">
        <v>934</v>
      </c>
    </row>
    <row r="28" spans="1:2" x14ac:dyDescent="0.3">
      <c r="A28" t="s">
        <v>935</v>
      </c>
      <c r="B28" t="s">
        <v>936</v>
      </c>
    </row>
    <row r="29" spans="1:2" x14ac:dyDescent="0.3">
      <c r="A29" t="s">
        <v>937</v>
      </c>
      <c r="B29" t="s">
        <v>938</v>
      </c>
    </row>
    <row r="30" spans="1:2" x14ac:dyDescent="0.3">
      <c r="A30" t="s">
        <v>939</v>
      </c>
      <c r="B30" t="s">
        <v>940</v>
      </c>
    </row>
    <row r="31" spans="1:2" x14ac:dyDescent="0.3">
      <c r="A31" t="s">
        <v>941</v>
      </c>
      <c r="B31" t="s">
        <v>942</v>
      </c>
    </row>
    <row r="32" spans="1:2" x14ac:dyDescent="0.3">
      <c r="A32" t="s">
        <v>943</v>
      </c>
      <c r="B32" t="s">
        <v>944</v>
      </c>
    </row>
    <row r="33" spans="1:2" x14ac:dyDescent="0.3">
      <c r="A33" t="s">
        <v>945</v>
      </c>
      <c r="B33" t="s">
        <v>946</v>
      </c>
    </row>
    <row r="34" spans="1:2" x14ac:dyDescent="0.3">
      <c r="A34" t="s">
        <v>947</v>
      </c>
      <c r="B34" t="s">
        <v>948</v>
      </c>
    </row>
    <row r="35" spans="1:2" x14ac:dyDescent="0.3">
      <c r="A35" t="s">
        <v>949</v>
      </c>
      <c r="B35" t="s">
        <v>950</v>
      </c>
    </row>
    <row r="36" spans="1:2" x14ac:dyDescent="0.3">
      <c r="A36" t="s">
        <v>951</v>
      </c>
      <c r="B36" t="s">
        <v>952</v>
      </c>
    </row>
    <row r="37" spans="1:2" x14ac:dyDescent="0.3">
      <c r="A37" t="s">
        <v>953</v>
      </c>
      <c r="B37" t="s">
        <v>954</v>
      </c>
    </row>
    <row r="38" spans="1:2" x14ac:dyDescent="0.3">
      <c r="A38" t="s">
        <v>955</v>
      </c>
      <c r="B38" t="s">
        <v>956</v>
      </c>
    </row>
    <row r="39" spans="1:2" x14ac:dyDescent="0.3">
      <c r="A39" t="s">
        <v>957</v>
      </c>
      <c r="B39" t="s">
        <v>958</v>
      </c>
    </row>
    <row r="40" spans="1:2" x14ac:dyDescent="0.3">
      <c r="A40" t="s">
        <v>959</v>
      </c>
      <c r="B40" t="s">
        <v>960</v>
      </c>
    </row>
    <row r="41" spans="1:2" x14ac:dyDescent="0.3">
      <c r="A41" t="s">
        <v>961</v>
      </c>
      <c r="B41" t="s">
        <v>962</v>
      </c>
    </row>
    <row r="42" spans="1:2" x14ac:dyDescent="0.3">
      <c r="A42" t="s">
        <v>963</v>
      </c>
      <c r="B42" t="s">
        <v>964</v>
      </c>
    </row>
    <row r="43" spans="1:2" x14ac:dyDescent="0.3">
      <c r="A43" t="s">
        <v>965</v>
      </c>
      <c r="B43" t="s">
        <v>966</v>
      </c>
    </row>
    <row r="44" spans="1:2" x14ac:dyDescent="0.3">
      <c r="A44" t="s">
        <v>967</v>
      </c>
      <c r="B44" t="s">
        <v>968</v>
      </c>
    </row>
    <row r="45" spans="1:2" x14ac:dyDescent="0.3">
      <c r="A45" t="s">
        <v>969</v>
      </c>
      <c r="B45" t="s">
        <v>970</v>
      </c>
    </row>
    <row r="46" spans="1:2" x14ac:dyDescent="0.3">
      <c r="A46" t="s">
        <v>971</v>
      </c>
      <c r="B46" t="s">
        <v>972</v>
      </c>
    </row>
    <row r="47" spans="1:2" x14ac:dyDescent="0.3">
      <c r="A47" t="s">
        <v>973</v>
      </c>
      <c r="B47" t="s">
        <v>974</v>
      </c>
    </row>
    <row r="48" spans="1:2" x14ac:dyDescent="0.3">
      <c r="A48" t="s">
        <v>975</v>
      </c>
      <c r="B48" t="s">
        <v>976</v>
      </c>
    </row>
    <row r="49" spans="1:2" x14ac:dyDescent="0.3">
      <c r="A49" t="s">
        <v>977</v>
      </c>
      <c r="B49" t="s">
        <v>978</v>
      </c>
    </row>
    <row r="50" spans="1:2" x14ac:dyDescent="0.3">
      <c r="A50" t="s">
        <v>979</v>
      </c>
      <c r="B50" t="s">
        <v>980</v>
      </c>
    </row>
    <row r="51" spans="1:2" x14ac:dyDescent="0.3">
      <c r="A51" t="s">
        <v>981</v>
      </c>
      <c r="B51" t="s">
        <v>982</v>
      </c>
    </row>
    <row r="52" spans="1:2" x14ac:dyDescent="0.3">
      <c r="A52" t="s">
        <v>983</v>
      </c>
      <c r="B52" t="s">
        <v>984</v>
      </c>
    </row>
    <row r="53" spans="1:2" x14ac:dyDescent="0.3">
      <c r="A53" t="s">
        <v>985</v>
      </c>
      <c r="B53" t="s">
        <v>986</v>
      </c>
    </row>
    <row r="54" spans="1:2" x14ac:dyDescent="0.3">
      <c r="A54" t="s">
        <v>985</v>
      </c>
      <c r="B54" t="s">
        <v>987</v>
      </c>
    </row>
    <row r="55" spans="1:2" x14ac:dyDescent="0.3">
      <c r="A55" t="s">
        <v>988</v>
      </c>
      <c r="B55" t="s">
        <v>989</v>
      </c>
    </row>
    <row r="56" spans="1:2" x14ac:dyDescent="0.3">
      <c r="A56" t="s">
        <v>990</v>
      </c>
      <c r="B56" t="s">
        <v>991</v>
      </c>
    </row>
    <row r="57" spans="1:2" x14ac:dyDescent="0.3">
      <c r="A57" t="s">
        <v>992</v>
      </c>
      <c r="B57" t="s">
        <v>993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Jeliazkova</dc:creator>
  <cp:lastModifiedBy>Nina Jeliazkova</cp:lastModifiedBy>
  <dcterms:created xsi:type="dcterms:W3CDTF">2025-08-09T16:53:33Z</dcterms:created>
  <dcterms:modified xsi:type="dcterms:W3CDTF">2026-05-04T06:29:41Z</dcterms:modified>
</cp:coreProperties>
</file>